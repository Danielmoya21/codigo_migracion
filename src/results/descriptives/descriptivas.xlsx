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moya\OneDrive\Desktop\UCR\Paper migracion\AA_paper_migracion_python\src\results\descriptives\"/>
    </mc:Choice>
  </mc:AlternateContent>
  <xr:revisionPtr revIDLastSave="0" documentId="13_ncr:1_{98246014-D932-499F-99F2-626999ADE927}" xr6:coauthVersionLast="47" xr6:coauthVersionMax="47" xr10:uidLastSave="{00000000-0000-0000-0000-000000000000}"/>
  <bookViews>
    <workbookView xWindow="25695" yWindow="0" windowWidth="26010" windowHeight="20985" activeTab="3" xr2:uid="{00000000-000D-0000-FFFF-FFFF00000000}"/>
  </bookViews>
  <sheets>
    <sheet name="Costa_rica" sheetId="1" r:id="rId1"/>
    <sheet name="Chile" sheetId="2" r:id="rId2"/>
    <sheet name="Ocupaciones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4" l="1"/>
  <c r="D33" i="4"/>
  <c r="D28" i="4" a="1"/>
  <c r="D28" i="4" s="1"/>
  <c r="B33" i="4"/>
  <c r="D13" i="4" a="1"/>
  <c r="D13" i="4" s="1"/>
  <c r="D16" i="4" s="1"/>
  <c r="E63" i="3"/>
  <c r="D63" i="3"/>
  <c r="D58" i="3" a="1"/>
  <c r="D58" i="3" s="1"/>
  <c r="D27" i="3" a="1"/>
  <c r="D27" i="3" s="1"/>
  <c r="D32" i="3" s="1"/>
  <c r="H37" i="2" a="1"/>
  <c r="H37" i="2" s="1"/>
  <c r="D37" i="2" a="1"/>
  <c r="D37" i="2" s="1"/>
  <c r="H3" i="2" a="1"/>
  <c r="H3" i="2" s="1"/>
  <c r="D3" i="2" a="1"/>
  <c r="D3" i="2" s="1"/>
  <c r="D11" i="2" a="1"/>
  <c r="D11" i="2" s="1"/>
  <c r="H11" i="2" a="1"/>
  <c r="H11" i="2" s="1"/>
  <c r="D29" i="1" a="1"/>
  <c r="D29" i="1" s="1"/>
  <c r="H29" i="1" a="1"/>
  <c r="H29" i="1" s="1"/>
  <c r="H8" i="1" a="1"/>
  <c r="H8" i="1" s="1"/>
  <c r="H3" i="1" a="1"/>
  <c r="H3" i="1" s="1"/>
  <c r="D8" i="1" a="1"/>
  <c r="D8" i="1" s="1"/>
  <c r="D3" i="1" a="1"/>
  <c r="D3" i="1" s="1"/>
  <c r="E16" i="4" l="1"/>
  <c r="E3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<sst xmlns="http://schemas.openxmlformats.org/spreadsheetml/2006/main" count="382" uniqueCount="171">
  <si>
    <t>condact</t>
  </si>
  <si>
    <t>N_costarricense</t>
  </si>
  <si>
    <t>proportion_costarricense</t>
  </si>
  <si>
    <t>cum_costarricense</t>
  </si>
  <si>
    <t>N_nicaraguense</t>
  </si>
  <si>
    <t>proportion_nicaraguense</t>
  </si>
  <si>
    <t>cum_nicaraguense</t>
  </si>
  <si>
    <t>Ocupado</t>
  </si>
  <si>
    <t>Desempleado abierto</t>
  </si>
  <si>
    <t>Fuera de la fuerza de trabajo</t>
  </si>
  <si>
    <t>Empleo</t>
  </si>
  <si>
    <t>logro</t>
  </si>
  <si>
    <t>Primaria Incompleta</t>
  </si>
  <si>
    <t>Primaria Completa</t>
  </si>
  <si>
    <t>Secundaria Incompleta</t>
  </si>
  <si>
    <t>Secundaria Completa</t>
  </si>
  <si>
    <t>Educacion Terciaria</t>
  </si>
  <si>
    <t>nacionalidad</t>
  </si>
  <si>
    <t>mean</t>
  </si>
  <si>
    <t>std</t>
  </si>
  <si>
    <t>nobs</t>
  </si>
  <si>
    <t>paste_col</t>
  </si>
  <si>
    <t>nicaraguense</t>
  </si>
  <si>
    <t>38.03
(12.06)</t>
  </si>
  <si>
    <t>costarricense</t>
  </si>
  <si>
    <t>38.04
(14.63)</t>
  </si>
  <si>
    <t>Edad</t>
  </si>
  <si>
    <t>Salarios</t>
  </si>
  <si>
    <t>mean_nicaraguense</t>
  </si>
  <si>
    <t>mean_costarricense</t>
  </si>
  <si>
    <t>std_nicaraguense</t>
  </si>
  <si>
    <t>std_costarricense</t>
  </si>
  <si>
    <t>nobs_nicaraguense</t>
  </si>
  <si>
    <t>nobs_costarricense</t>
  </si>
  <si>
    <t>paste_col_nicaraguense</t>
  </si>
  <si>
    <t>paste_col_costarricense</t>
  </si>
  <si>
    <t>1781.85
(1500.93)</t>
  </si>
  <si>
    <t>2603.56
(33032.52)</t>
  </si>
  <si>
    <t>1772.7
(1010.53)</t>
  </si>
  <si>
    <t>1799.4
(1259.06)</t>
  </si>
  <si>
    <t>1800.91
(939.51)</t>
  </si>
  <si>
    <t>1922.38
(1873.5)</t>
  </si>
  <si>
    <t>1967.56
(2024.4)</t>
  </si>
  <si>
    <t>2333.71
(1644.98)</t>
  </si>
  <si>
    <t>3530.51
(2881.8)</t>
  </si>
  <si>
    <t>5551.19
(4310.94)</t>
  </si>
  <si>
    <t>Formalidad</t>
  </si>
  <si>
    <t>asegurado</t>
  </si>
  <si>
    <t>1651.7
(1330.88)</t>
  </si>
  <si>
    <t>1792.15
(1647.36)</t>
  </si>
  <si>
    <t>1808.03
(1274.19)</t>
  </si>
  <si>
    <t>1780.95
(979.03)</t>
  </si>
  <si>
    <t>1917.18
(1415.08)</t>
  </si>
  <si>
    <t>1815.72
(933.57)</t>
  </si>
  <si>
    <t>2318.91
(1497.22)</t>
  </si>
  <si>
    <t>1918.38
(1003.49)</t>
  </si>
  <si>
    <t>5521.35
(3829.33)</t>
  </si>
  <si>
    <t>3604.39
(2924.72)</t>
  </si>
  <si>
    <t>Educacion</t>
  </si>
  <si>
    <t>36.41
(8.52)</t>
  </si>
  <si>
    <t>36.09
(10.3)</t>
  </si>
  <si>
    <t>N_chileno</t>
  </si>
  <si>
    <t>proportion_chileno</t>
  </si>
  <si>
    <t>cum_chileno</t>
  </si>
  <si>
    <t>N_venezolano</t>
  </si>
  <si>
    <t>proportion_venezolano</t>
  </si>
  <si>
    <t>cum_venezolano</t>
  </si>
  <si>
    <t>activ</t>
  </si>
  <si>
    <t>Ocupados</t>
  </si>
  <si>
    <t>Desocupados</t>
  </si>
  <si>
    <t>Inactivos</t>
  </si>
  <si>
    <t>Ocupacion</t>
  </si>
  <si>
    <t>venezolano</t>
  </si>
  <si>
    <t>35.1
(11.09)</t>
  </si>
  <si>
    <t>chileno</t>
  </si>
  <si>
    <t>40.53
(14.49)</t>
  </si>
  <si>
    <t>mean_chileno</t>
  </si>
  <si>
    <t>std_chileno</t>
  </si>
  <si>
    <t>nobs_chileno</t>
  </si>
  <si>
    <t>paste_col_chileno</t>
  </si>
  <si>
    <t>mean_venezolano</t>
  </si>
  <si>
    <t>std_venezolano</t>
  </si>
  <si>
    <t>nobs_venezolano</t>
  </si>
  <si>
    <t>paste_col_venezolano</t>
  </si>
  <si>
    <t>2013.72
(2485.84)</t>
  </si>
  <si>
    <t>2139.52
(989.22)</t>
  </si>
  <si>
    <t>2187.6
(3229.11)</t>
  </si>
  <si>
    <t>1937.35
(604.65)</t>
  </si>
  <si>
    <t>2414.87
(5160.56)</t>
  </si>
  <si>
    <t>2918.09
(3252.36)</t>
  </si>
  <si>
    <t>2574.64
(3571.93)</t>
  </si>
  <si>
    <t>2548.12
(1907.99)</t>
  </si>
  <si>
    <t>5339.05
(6502.08)</t>
  </si>
  <si>
    <t>4115.58
(6426.66)</t>
  </si>
  <si>
    <t>cotiza</t>
  </si>
  <si>
    <t>No sabe</t>
  </si>
  <si>
    <t>No</t>
  </si>
  <si>
    <t>Sí</t>
  </si>
  <si>
    <t>34.37
(8.77)</t>
  </si>
  <si>
    <t>38.24
(10.54)</t>
  </si>
  <si>
    <t>1911.43
(1526.08)</t>
  </si>
  <si>
    <t>2282.19
(1264.0)</t>
  </si>
  <si>
    <t>2004.34
(1620.42)</t>
  </si>
  <si>
    <t>2032.48
(663.29)</t>
  </si>
  <si>
    <t>2190.21
(1834.1)</t>
  </si>
  <si>
    <t>2545.94
(1426.24)</t>
  </si>
  <si>
    <t>2432.82
(1841.96)</t>
  </si>
  <si>
    <t>2569.36
(1930.79)</t>
  </si>
  <si>
    <t>4828.79
(3749.95)</t>
  </si>
  <si>
    <t>3732.91
(3205.02)</t>
  </si>
  <si>
    <t>Salario</t>
  </si>
  <si>
    <t>ramaemppri</t>
  </si>
  <si>
    <t>Comercio al por mayor y al por menor; reparación de vehículos automotores y motocicletas</t>
  </si>
  <si>
    <t>Hogares como empleadores</t>
  </si>
  <si>
    <t>Enseñanza</t>
  </si>
  <si>
    <t>Industrias manufactureras</t>
  </si>
  <si>
    <t>Actividades de alojamiento y de servicio de comidas</t>
  </si>
  <si>
    <t>Actividades de atención de la salud humana y de asistencia social</t>
  </si>
  <si>
    <t>Administración pública y defensa; planes de seguridad social de afiliación obligatoria</t>
  </si>
  <si>
    <t>Otras actividades de servicios</t>
  </si>
  <si>
    <t>Actividades de servicios administrativos y de apoyo</t>
  </si>
  <si>
    <t>Actividades profesionales, científicas y técnicas</t>
  </si>
  <si>
    <t>Agricultura, ganadería, silvicultura y pesca</t>
  </si>
  <si>
    <t>Actividades financieras y de seguros</t>
  </si>
  <si>
    <t>Transporte y almacenamiento</t>
  </si>
  <si>
    <t>Información y comunicaciones</t>
  </si>
  <si>
    <t>Actividades artísticas, de entretenimiento y recreativas</t>
  </si>
  <si>
    <t>Construcción</t>
  </si>
  <si>
    <t>Actividades inmobiliarias</t>
  </si>
  <si>
    <t>Suministro de electricidad, gas, vapor y aire acondicionado</t>
  </si>
  <si>
    <t>Suministro de agua; evacuación de aguas residuales, gestión de desechos y descontaminación</t>
  </si>
  <si>
    <t>Actividades de organizaciones y órganos extraterritoriales</t>
  </si>
  <si>
    <t>Explotación de minas y canteras</t>
  </si>
  <si>
    <t>A. Agricultura, ganadería, silvicultura y pesca</t>
  </si>
  <si>
    <t>B. Explotación de minas y canteras</t>
  </si>
  <si>
    <t>C. Industrias manufactureras</t>
  </si>
  <si>
    <t>D. Suministro de electricidad, gas, vapor y aire acondicionado</t>
  </si>
  <si>
    <t>E. Suministro de agua; evacuación de aguas residuales, gestión de desechos y descontaminación</t>
  </si>
  <si>
    <t>F. Construcción</t>
  </si>
  <si>
    <t>G. Comercio al por mayor y al por menor; reparación de vehículos automotores y motocicletas</t>
  </si>
  <si>
    <t>H. Transporte y almacenamiento</t>
  </si>
  <si>
    <t>I. Actividades de alojamiento y de servicio de comidas</t>
  </si>
  <si>
    <t>J. Información y comunicaciones</t>
  </si>
  <si>
    <t>K. Actividades financieras y de seguros</t>
  </si>
  <si>
    <t>L. Actividades inmobiliarias</t>
  </si>
  <si>
    <t>M. Actividades profesionales, científicas y técnicas</t>
  </si>
  <si>
    <t>N. Actividades de servicios administrativos y de apoyo</t>
  </si>
  <si>
    <t>O. Administración pública y defensa; planes de seguridad social de afiliación obligatoria</t>
  </si>
  <si>
    <t>P. Enseñanza</t>
  </si>
  <si>
    <t>Q. Actividades de atención de la salud humana y de asistencia social</t>
  </si>
  <si>
    <t>R. Actividades artísticas, de entretenimiento y recreativas</t>
  </si>
  <si>
    <t>S. Otras actividades de servicios</t>
  </si>
  <si>
    <t>T. Actividades de los hogares como empleadores; actividades no diferenciadas de los hogares como productores de bienes y</t>
  </si>
  <si>
    <t>U. Actividades de organizaciones y órganos extraterritoriales</t>
  </si>
  <si>
    <t>Costa Rica</t>
  </si>
  <si>
    <t>Incluye asalariadas con horas reportadas e ingresos positivos</t>
  </si>
  <si>
    <t>Tabla final</t>
  </si>
  <si>
    <t>No pueden clasificarse según la actividad económica</t>
  </si>
  <si>
    <t>rama1</t>
  </si>
  <si>
    <t>Zonas</t>
  </si>
  <si>
    <t>region</t>
  </si>
  <si>
    <t>Central</t>
  </si>
  <si>
    <t>Chorotega</t>
  </si>
  <si>
    <t>Pacífico Central</t>
  </si>
  <si>
    <t>Brunca</t>
  </si>
  <si>
    <t>Huetar Caribe</t>
  </si>
  <si>
    <t>Huetar Norte</t>
  </si>
  <si>
    <t>Norte</t>
  </si>
  <si>
    <t>Centro Norte</t>
  </si>
  <si>
    <t>Centro Sur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</si>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</sst>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workbookViewId="0">
      <selection activeCell="D24" sqref="D24"/>
    </sheetView>
  </sheetViews>
  <sheetFormatPr defaultRowHeight="15" x14ac:dyDescent="0.25"/>
  <cols>
    <col min="1" max="1" width="26.7109375" bestFit="1" customWidth="1"/>
    <col min="2" max="2" width="15.28515625" bestFit="1" customWidth="1"/>
    <col min="3" max="3" width="23.7109375" bestFit="1" customWidth="1"/>
    <col min="4" max="4" width="23.7109375" customWidth="1"/>
    <col min="5" max="5" width="17.7109375" bestFit="1" customWidth="1"/>
    <col min="6" max="6" width="15.28515625" bestFit="1" customWidth="1"/>
    <col min="7" max="7" width="23.7109375" bestFit="1" customWidth="1"/>
    <col min="8" max="8" width="23.7109375" customWidth="1"/>
    <col min="9" max="9" width="17.7109375" bestFit="1" customWidth="1"/>
  </cols>
  <sheetData>
    <row r="1" spans="1:9" x14ac:dyDescent="0.25">
      <c r="A1" s="1" t="s">
        <v>10</v>
      </c>
    </row>
    <row r="2" spans="1:9" x14ac:dyDescent="0.25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 t="s">
        <v>6</v>
      </c>
    </row>
    <row r="3" spans="1:9" x14ac:dyDescent="0.25">
      <c r="A3" t="s">
        <v>7</v>
      </c>
      <c r="B3" s="2">
        <v>33618</v>
      </c>
      <c r="C3" s="2">
        <v>43.79</v>
      </c>
      <c r="D3" s="2" cm="1">
        <f t="array" ref="D3:D5">C3:C5/100</f>
        <v>0.43790000000000001</v>
      </c>
      <c r="E3" s="2">
        <v>43.79</v>
      </c>
      <c r="F3" s="2">
        <v>3921</v>
      </c>
      <c r="G3" s="2">
        <v>49.32</v>
      </c>
      <c r="H3" s="2" cm="1">
        <f t="array" ref="H3:H5">G3:G5/100</f>
        <v>0.49320000000000003</v>
      </c>
      <c r="I3" s="2">
        <v>49.32</v>
      </c>
    </row>
    <row r="4" spans="1:9" x14ac:dyDescent="0.25">
      <c r="A4" t="s">
        <v>8</v>
      </c>
      <c r="B4" s="2">
        <v>3807</v>
      </c>
      <c r="C4" s="2">
        <v>4.96</v>
      </c>
      <c r="D4" s="2">
        <v>4.9599999999999998E-2</v>
      </c>
      <c r="E4" s="2">
        <v>48.75</v>
      </c>
      <c r="F4" s="2">
        <v>521</v>
      </c>
      <c r="G4" s="2">
        <v>6.55</v>
      </c>
      <c r="H4" s="2">
        <v>6.5500000000000003E-2</v>
      </c>
      <c r="I4" s="2">
        <v>55.87</v>
      </c>
    </row>
    <row r="5" spans="1:9" x14ac:dyDescent="0.25">
      <c r="A5" t="s">
        <v>9</v>
      </c>
      <c r="B5" s="2">
        <v>39339</v>
      </c>
      <c r="C5" s="2">
        <v>51.25</v>
      </c>
      <c r="D5" s="2">
        <v>0.51249999999999996</v>
      </c>
      <c r="E5" s="2">
        <v>100</v>
      </c>
      <c r="F5" s="2">
        <v>3508</v>
      </c>
      <c r="G5" s="2">
        <v>44.13</v>
      </c>
      <c r="H5" s="2">
        <v>0.44130000000000003</v>
      </c>
      <c r="I5" s="2">
        <v>100</v>
      </c>
    </row>
    <row r="6" spans="1:9" x14ac:dyDescent="0.25">
      <c r="B6" s="3"/>
    </row>
    <row r="7" spans="1:9" x14ac:dyDescent="0.25">
      <c r="A7" s="1" t="s">
        <v>11</v>
      </c>
      <c r="B7" s="1" t="s">
        <v>1</v>
      </c>
      <c r="C7" s="1" t="s">
        <v>2</v>
      </c>
      <c r="D7" s="1"/>
      <c r="E7" s="1" t="s">
        <v>3</v>
      </c>
      <c r="F7" s="1" t="s">
        <v>4</v>
      </c>
      <c r="G7" s="1" t="s">
        <v>5</v>
      </c>
      <c r="H7" s="1"/>
      <c r="I7" s="1" t="s">
        <v>6</v>
      </c>
    </row>
    <row r="8" spans="1:9" x14ac:dyDescent="0.25">
      <c r="A8" t="s">
        <v>12</v>
      </c>
      <c r="B8" s="2">
        <v>7139</v>
      </c>
      <c r="C8" s="2">
        <v>9.3000000000000007</v>
      </c>
      <c r="D8" s="2" cm="1">
        <f t="array" ref="D8:D12">C8:C12/100</f>
        <v>9.3000000000000013E-2</v>
      </c>
      <c r="E8" s="2">
        <v>9.3000000000000007</v>
      </c>
      <c r="F8" s="2">
        <v>2239</v>
      </c>
      <c r="G8" s="2">
        <v>28.16</v>
      </c>
      <c r="H8" s="2" cm="1">
        <f t="array" ref="H8:H12">G8:G12/100</f>
        <v>0.28160000000000002</v>
      </c>
      <c r="I8" s="2">
        <v>28.16</v>
      </c>
    </row>
    <row r="9" spans="1:9" x14ac:dyDescent="0.25">
      <c r="A9" t="s">
        <v>13</v>
      </c>
      <c r="B9" s="2">
        <v>17708</v>
      </c>
      <c r="C9" s="2">
        <v>23.07</v>
      </c>
      <c r="D9" s="2">
        <v>0.23070000000000002</v>
      </c>
      <c r="E9" s="2">
        <v>32.369999999999997</v>
      </c>
      <c r="F9" s="2">
        <v>1885</v>
      </c>
      <c r="G9" s="2">
        <v>23.71</v>
      </c>
      <c r="H9" s="2">
        <v>0.23710000000000001</v>
      </c>
      <c r="I9" s="2">
        <v>51.87</v>
      </c>
    </row>
    <row r="10" spans="1:9" x14ac:dyDescent="0.25">
      <c r="A10" t="s">
        <v>14</v>
      </c>
      <c r="B10" s="2">
        <v>18460</v>
      </c>
      <c r="C10" s="2">
        <v>24.05</v>
      </c>
      <c r="D10" s="2">
        <v>0.24050000000000002</v>
      </c>
      <c r="E10" s="2">
        <v>56.42</v>
      </c>
      <c r="F10" s="2">
        <v>2044</v>
      </c>
      <c r="G10" s="2">
        <v>25.71</v>
      </c>
      <c r="H10" s="2">
        <v>0.2571</v>
      </c>
      <c r="I10" s="2">
        <v>77.58</v>
      </c>
    </row>
    <row r="11" spans="1:9" x14ac:dyDescent="0.25">
      <c r="A11" t="s">
        <v>15</v>
      </c>
      <c r="B11" s="2">
        <v>14912</v>
      </c>
      <c r="C11" s="2">
        <v>19.43</v>
      </c>
      <c r="D11" s="2">
        <v>0.1943</v>
      </c>
      <c r="E11" s="2">
        <v>75.849999999999994</v>
      </c>
      <c r="F11" s="2">
        <v>1280</v>
      </c>
      <c r="G11" s="2">
        <v>16.100000000000001</v>
      </c>
      <c r="H11" s="2">
        <v>0.161</v>
      </c>
      <c r="I11" s="2">
        <v>93.68</v>
      </c>
    </row>
    <row r="12" spans="1:9" x14ac:dyDescent="0.25">
      <c r="A12" t="s">
        <v>16</v>
      </c>
      <c r="B12" s="2">
        <v>18545</v>
      </c>
      <c r="C12" s="2">
        <v>24.16</v>
      </c>
      <c r="D12" s="2">
        <v>0.24160000000000001</v>
      </c>
      <c r="E12" s="2">
        <v>100.01</v>
      </c>
      <c r="F12" s="2">
        <v>502</v>
      </c>
      <c r="G12" s="2">
        <v>6.31</v>
      </c>
      <c r="H12" s="2">
        <v>6.3099999999999989E-2</v>
      </c>
      <c r="I12" s="2">
        <v>99.99</v>
      </c>
    </row>
    <row r="14" spans="1:9" x14ac:dyDescent="0.25">
      <c r="A14" s="1" t="s">
        <v>26</v>
      </c>
    </row>
    <row r="15" spans="1:9" x14ac:dyDescent="0.25">
      <c r="A15" s="1" t="s">
        <v>17</v>
      </c>
      <c r="B15" s="1" t="s">
        <v>18</v>
      </c>
      <c r="C15" s="1" t="s">
        <v>19</v>
      </c>
      <c r="D15" s="1"/>
      <c r="E15" s="1" t="s">
        <v>20</v>
      </c>
      <c r="F15" s="1" t="s">
        <v>21</v>
      </c>
    </row>
    <row r="16" spans="1:9" ht="30" x14ac:dyDescent="0.25">
      <c r="A16" s="1" t="s">
        <v>22</v>
      </c>
      <c r="B16">
        <v>38.03</v>
      </c>
      <c r="C16">
        <v>12.06</v>
      </c>
      <c r="E16">
        <v>7950</v>
      </c>
      <c r="F16" s="5" t="s">
        <v>23</v>
      </c>
    </row>
    <row r="17" spans="1:9" ht="30" x14ac:dyDescent="0.25">
      <c r="A17" s="1" t="s">
        <v>24</v>
      </c>
      <c r="B17">
        <v>38.04</v>
      </c>
      <c r="C17">
        <v>14.63</v>
      </c>
      <c r="E17">
        <v>76764</v>
      </c>
      <c r="F17" s="5" t="s">
        <v>25</v>
      </c>
    </row>
    <row r="19" spans="1:9" x14ac:dyDescent="0.25">
      <c r="A19" s="1" t="s">
        <v>27</v>
      </c>
    </row>
    <row r="20" spans="1:9" x14ac:dyDescent="0.25">
      <c r="A20" s="1" t="s">
        <v>11</v>
      </c>
      <c r="B20" s="1" t="s">
        <v>29</v>
      </c>
      <c r="C20" s="1" t="s">
        <v>31</v>
      </c>
      <c r="D20" s="1" t="s">
        <v>33</v>
      </c>
      <c r="E20" s="1" t="s">
        <v>35</v>
      </c>
      <c r="F20" s="1" t="s">
        <v>28</v>
      </c>
      <c r="G20" s="1" t="s">
        <v>30</v>
      </c>
      <c r="H20" s="1" t="s">
        <v>32</v>
      </c>
      <c r="I20" s="1" t="s">
        <v>34</v>
      </c>
    </row>
    <row r="21" spans="1:9" ht="30" x14ac:dyDescent="0.25">
      <c r="A21" t="s">
        <v>12</v>
      </c>
      <c r="B21">
        <v>2603.56</v>
      </c>
      <c r="C21">
        <v>33032.519999999997</v>
      </c>
      <c r="D21">
        <v>1238</v>
      </c>
      <c r="E21" s="5" t="s">
        <v>37</v>
      </c>
      <c r="F21">
        <v>1781.85</v>
      </c>
      <c r="G21">
        <v>1500.93</v>
      </c>
      <c r="H21" s="4">
        <v>682</v>
      </c>
      <c r="I21" s="5" t="s">
        <v>36</v>
      </c>
    </row>
    <row r="22" spans="1:9" ht="30" x14ac:dyDescent="0.25">
      <c r="A22" t="s">
        <v>13</v>
      </c>
      <c r="B22">
        <v>1799.4</v>
      </c>
      <c r="C22">
        <v>1259.06</v>
      </c>
      <c r="D22">
        <v>4470</v>
      </c>
      <c r="E22" s="5" t="s">
        <v>39</v>
      </c>
      <c r="F22">
        <v>1772.7</v>
      </c>
      <c r="G22">
        <v>1010.53</v>
      </c>
      <c r="H22" s="4">
        <v>835</v>
      </c>
      <c r="I22" s="5" t="s">
        <v>38</v>
      </c>
    </row>
    <row r="23" spans="1:9" ht="30" x14ac:dyDescent="0.25">
      <c r="A23" t="s">
        <v>14</v>
      </c>
      <c r="B23">
        <v>1922.38</v>
      </c>
      <c r="C23">
        <v>1873.5</v>
      </c>
      <c r="D23">
        <v>3977</v>
      </c>
      <c r="E23" s="5" t="s">
        <v>41</v>
      </c>
      <c r="F23">
        <v>1800.91</v>
      </c>
      <c r="G23">
        <v>939.51</v>
      </c>
      <c r="H23" s="4">
        <v>774</v>
      </c>
      <c r="I23" s="5" t="s">
        <v>40</v>
      </c>
    </row>
    <row r="24" spans="1:9" ht="30" x14ac:dyDescent="0.25">
      <c r="A24" t="s">
        <v>15</v>
      </c>
      <c r="B24">
        <v>2333.71</v>
      </c>
      <c r="C24">
        <v>1644.98</v>
      </c>
      <c r="D24">
        <v>5639</v>
      </c>
      <c r="E24" s="5" t="s">
        <v>43</v>
      </c>
      <c r="F24">
        <v>1967.56</v>
      </c>
      <c r="G24">
        <v>2024.4</v>
      </c>
      <c r="H24" s="4">
        <v>613</v>
      </c>
      <c r="I24" s="5" t="s">
        <v>42</v>
      </c>
    </row>
    <row r="25" spans="1:9" ht="30" x14ac:dyDescent="0.25">
      <c r="A25" t="s">
        <v>16</v>
      </c>
      <c r="B25">
        <v>5551.19</v>
      </c>
      <c r="C25">
        <v>4310.9399999999996</v>
      </c>
      <c r="D25">
        <v>11049</v>
      </c>
      <c r="E25" s="5" t="s">
        <v>45</v>
      </c>
      <c r="F25">
        <v>3530.51</v>
      </c>
      <c r="G25">
        <v>2881.8</v>
      </c>
      <c r="H25" s="4">
        <v>260</v>
      </c>
      <c r="I25" s="5" t="s">
        <v>44</v>
      </c>
    </row>
    <row r="27" spans="1:9" x14ac:dyDescent="0.25">
      <c r="A27" s="1" t="s">
        <v>46</v>
      </c>
    </row>
    <row r="28" spans="1:9" x14ac:dyDescent="0.25">
      <c r="A28" s="1" t="s">
        <v>47</v>
      </c>
      <c r="B28" s="1" t="s">
        <v>1</v>
      </c>
      <c r="C28" s="1" t="s">
        <v>2</v>
      </c>
      <c r="D28" s="1"/>
      <c r="E28" s="1" t="s">
        <v>3</v>
      </c>
      <c r="F28" s="1" t="s">
        <v>4</v>
      </c>
      <c r="G28" s="1" t="s">
        <v>5</v>
      </c>
      <c r="H28" s="1"/>
      <c r="I28" s="1" t="s">
        <v>6</v>
      </c>
    </row>
    <row r="29" spans="1:9" x14ac:dyDescent="0.25">
      <c r="A29">
        <v>0</v>
      </c>
      <c r="B29">
        <v>12847</v>
      </c>
      <c r="C29">
        <v>38.22</v>
      </c>
      <c r="D29" s="6" cm="1">
        <f t="array" ref="D29:D30">C29:C30/100</f>
        <v>0.38219999999999998</v>
      </c>
      <c r="E29">
        <v>38.22</v>
      </c>
      <c r="F29">
        <v>2097</v>
      </c>
      <c r="G29">
        <v>53.49</v>
      </c>
      <c r="H29" s="6" cm="1">
        <f t="array" ref="H29:H30">G29:G30/100</f>
        <v>0.53490000000000004</v>
      </c>
      <c r="I29">
        <v>53.49</v>
      </c>
    </row>
    <row r="30" spans="1:9" x14ac:dyDescent="0.25">
      <c r="A30">
        <v>1</v>
      </c>
      <c r="B30">
        <v>20762</v>
      </c>
      <c r="C30">
        <v>61.78</v>
      </c>
      <c r="D30" s="6">
        <v>0.61780000000000002</v>
      </c>
      <c r="E30">
        <v>100</v>
      </c>
      <c r="F30">
        <v>1823</v>
      </c>
      <c r="G30">
        <v>46.51</v>
      </c>
      <c r="H30" s="6">
        <v>0.46509999999999996</v>
      </c>
      <c r="I30">
        <v>100</v>
      </c>
    </row>
    <row r="32" spans="1:9" s="7" customFormat="1" x14ac:dyDescent="0.25"/>
    <row r="33" spans="1:9" x14ac:dyDescent="0.25">
      <c r="A33" s="1" t="s">
        <v>27</v>
      </c>
    </row>
    <row r="34" spans="1:9" x14ac:dyDescent="0.25">
      <c r="A34" t="s">
        <v>11</v>
      </c>
      <c r="B34" t="s">
        <v>29</v>
      </c>
      <c r="C34" t="s">
        <v>31</v>
      </c>
      <c r="D34" t="s">
        <v>33</v>
      </c>
      <c r="E34" t="s">
        <v>35</v>
      </c>
      <c r="F34" t="s">
        <v>28</v>
      </c>
      <c r="G34" t="s">
        <v>30</v>
      </c>
      <c r="H34" t="s">
        <v>32</v>
      </c>
      <c r="I34" t="s">
        <v>34</v>
      </c>
    </row>
    <row r="35" spans="1:9" x14ac:dyDescent="0.25">
      <c r="A35" t="s">
        <v>12</v>
      </c>
      <c r="B35">
        <v>1651.7</v>
      </c>
      <c r="C35">
        <v>1330.88</v>
      </c>
      <c r="D35">
        <v>715</v>
      </c>
      <c r="E35" t="s">
        <v>48</v>
      </c>
      <c r="F35">
        <v>1792.15</v>
      </c>
      <c r="G35">
        <v>1647.36</v>
      </c>
      <c r="H35">
        <v>472</v>
      </c>
      <c r="I35" t="s">
        <v>49</v>
      </c>
    </row>
    <row r="36" spans="1:9" x14ac:dyDescent="0.25">
      <c r="A36" t="s">
        <v>13</v>
      </c>
      <c r="B36">
        <v>1808.03</v>
      </c>
      <c r="C36">
        <v>1274.19</v>
      </c>
      <c r="D36">
        <v>3074</v>
      </c>
      <c r="E36" t="s">
        <v>50</v>
      </c>
      <c r="F36">
        <v>1780.95</v>
      </c>
      <c r="G36">
        <v>979.03</v>
      </c>
      <c r="H36">
        <v>651</v>
      </c>
      <c r="I36" t="s">
        <v>51</v>
      </c>
    </row>
    <row r="37" spans="1:9" x14ac:dyDescent="0.25">
      <c r="A37" t="s">
        <v>14</v>
      </c>
      <c r="B37">
        <v>1917.18</v>
      </c>
      <c r="C37">
        <v>1415.08</v>
      </c>
      <c r="D37">
        <v>3428</v>
      </c>
      <c r="E37" t="s">
        <v>52</v>
      </c>
      <c r="F37">
        <v>1815.72</v>
      </c>
      <c r="G37">
        <v>933.57</v>
      </c>
      <c r="H37">
        <v>701</v>
      </c>
      <c r="I37" t="s">
        <v>53</v>
      </c>
    </row>
    <row r="38" spans="1:9" x14ac:dyDescent="0.25">
      <c r="A38" t="s">
        <v>15</v>
      </c>
      <c r="B38">
        <v>2318.91</v>
      </c>
      <c r="C38">
        <v>1497.22</v>
      </c>
      <c r="D38">
        <v>5234</v>
      </c>
      <c r="E38" t="s">
        <v>54</v>
      </c>
      <c r="F38">
        <v>1918.38</v>
      </c>
      <c r="G38">
        <v>1003.49</v>
      </c>
      <c r="H38">
        <v>580</v>
      </c>
      <c r="I38" t="s">
        <v>55</v>
      </c>
    </row>
    <row r="39" spans="1:9" x14ac:dyDescent="0.25">
      <c r="A39" t="s">
        <v>16</v>
      </c>
      <c r="B39">
        <v>5521.35</v>
      </c>
      <c r="C39">
        <v>3829.33</v>
      </c>
      <c r="D39">
        <v>10825</v>
      </c>
      <c r="E39" t="s">
        <v>56</v>
      </c>
      <c r="F39">
        <v>3604.39</v>
      </c>
      <c r="G39">
        <v>2924.72</v>
      </c>
      <c r="H39">
        <v>247</v>
      </c>
      <c r="I39" t="s">
        <v>57</v>
      </c>
    </row>
    <row r="41" spans="1:9" x14ac:dyDescent="0.25">
      <c r="A41" s="1" t="s">
        <v>58</v>
      </c>
    </row>
    <row r="42" spans="1:9" x14ac:dyDescent="0.25">
      <c r="A42" t="s">
        <v>11</v>
      </c>
      <c r="B42" t="s">
        <v>1</v>
      </c>
      <c r="C42" t="s">
        <v>2</v>
      </c>
      <c r="E42" t="s">
        <v>3</v>
      </c>
      <c r="F42" t="s">
        <v>4</v>
      </c>
      <c r="G42" t="s">
        <v>5</v>
      </c>
      <c r="I42" t="s">
        <v>6</v>
      </c>
    </row>
    <row r="43" spans="1:9" x14ac:dyDescent="0.25">
      <c r="A43" t="s">
        <v>12</v>
      </c>
      <c r="B43">
        <v>715</v>
      </c>
      <c r="C43">
        <v>3.07</v>
      </c>
      <c r="D43">
        <v>3.0699999999999998E-2</v>
      </c>
      <c r="E43">
        <v>3.07</v>
      </c>
      <c r="F43">
        <v>472</v>
      </c>
      <c r="G43">
        <v>17.8</v>
      </c>
      <c r="H43">
        <v>0.17800000000000002</v>
      </c>
      <c r="I43">
        <v>17.8</v>
      </c>
    </row>
    <row r="44" spans="1:9" x14ac:dyDescent="0.25">
      <c r="A44" t="s">
        <v>13</v>
      </c>
      <c r="B44">
        <v>3074</v>
      </c>
      <c r="C44">
        <v>13.21</v>
      </c>
      <c r="D44">
        <v>0.1321</v>
      </c>
      <c r="E44">
        <v>16.28</v>
      </c>
      <c r="F44">
        <v>651</v>
      </c>
      <c r="G44">
        <v>24.56</v>
      </c>
      <c r="H44">
        <v>0.24559999999999998</v>
      </c>
      <c r="I44">
        <v>42.36</v>
      </c>
    </row>
    <row r="45" spans="1:9" x14ac:dyDescent="0.25">
      <c r="A45" t="s">
        <v>14</v>
      </c>
      <c r="B45">
        <v>3428</v>
      </c>
      <c r="C45">
        <v>14.73</v>
      </c>
      <c r="D45">
        <v>0.14730000000000001</v>
      </c>
      <c r="E45">
        <v>31.01</v>
      </c>
      <c r="F45">
        <v>701</v>
      </c>
      <c r="G45">
        <v>26.44</v>
      </c>
      <c r="H45">
        <v>0.26440000000000002</v>
      </c>
      <c r="I45">
        <v>68.8</v>
      </c>
    </row>
    <row r="46" spans="1:9" x14ac:dyDescent="0.25">
      <c r="A46" t="s">
        <v>15</v>
      </c>
      <c r="B46">
        <v>5234</v>
      </c>
      <c r="C46">
        <v>22.49</v>
      </c>
      <c r="D46">
        <v>0.22489999999999999</v>
      </c>
      <c r="E46">
        <v>53.5</v>
      </c>
      <c r="F46">
        <v>580</v>
      </c>
      <c r="G46">
        <v>21.88</v>
      </c>
      <c r="H46">
        <v>0.21879999999999999</v>
      </c>
      <c r="I46">
        <v>90.68</v>
      </c>
    </row>
    <row r="47" spans="1:9" x14ac:dyDescent="0.25">
      <c r="A47" t="s">
        <v>16</v>
      </c>
      <c r="B47">
        <v>10825</v>
      </c>
      <c r="C47">
        <v>46.51</v>
      </c>
      <c r="D47">
        <v>0.46509999999999996</v>
      </c>
      <c r="E47">
        <v>100.01</v>
      </c>
      <c r="F47">
        <v>247</v>
      </c>
      <c r="G47">
        <v>9.32</v>
      </c>
      <c r="H47">
        <v>9.3200000000000005E-2</v>
      </c>
      <c r="I47">
        <v>100</v>
      </c>
    </row>
    <row r="50" spans="1:7" x14ac:dyDescent="0.25">
      <c r="A50" s="1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</row>
    <row r="51" spans="1:7" x14ac:dyDescent="0.25">
      <c r="A51" t="s">
        <v>7</v>
      </c>
      <c r="B51">
        <v>23276</v>
      </c>
      <c r="C51">
        <v>100</v>
      </c>
      <c r="D51">
        <v>100</v>
      </c>
      <c r="E51">
        <v>2651</v>
      </c>
      <c r="F51">
        <v>100</v>
      </c>
      <c r="G51">
        <v>100</v>
      </c>
    </row>
    <row r="53" spans="1:7" x14ac:dyDescent="0.25">
      <c r="A53" s="1" t="s">
        <v>26</v>
      </c>
    </row>
    <row r="54" spans="1:7" x14ac:dyDescent="0.25">
      <c r="A54" t="s">
        <v>17</v>
      </c>
      <c r="B54" t="s">
        <v>18</v>
      </c>
      <c r="C54" t="s">
        <v>19</v>
      </c>
      <c r="D54" t="s">
        <v>20</v>
      </c>
      <c r="E54" t="s">
        <v>21</v>
      </c>
    </row>
    <row r="55" spans="1:7" x14ac:dyDescent="0.25">
      <c r="A55" t="s">
        <v>22</v>
      </c>
      <c r="B55">
        <v>36.409999999999997</v>
      </c>
      <c r="C55">
        <v>8.52</v>
      </c>
      <c r="D55">
        <v>2651</v>
      </c>
      <c r="E55" t="s">
        <v>59</v>
      </c>
    </row>
    <row r="56" spans="1:7" x14ac:dyDescent="0.25">
      <c r="A56" t="s">
        <v>24</v>
      </c>
      <c r="B56">
        <v>36.090000000000003</v>
      </c>
      <c r="C56">
        <v>10.3</v>
      </c>
      <c r="D56">
        <v>23276</v>
      </c>
      <c r="E56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9E18-E6F1-42FF-BA75-3A5679E59F6E}">
  <dimension ref="A1:I57"/>
  <sheetViews>
    <sheetView topLeftCell="A51" workbookViewId="0">
      <selection activeCell="I62" sqref="I62"/>
    </sheetView>
  </sheetViews>
  <sheetFormatPr defaultRowHeight="15" x14ac:dyDescent="0.25"/>
  <cols>
    <col min="1" max="1" width="21.5703125" bestFit="1" customWidth="1"/>
    <col min="2" max="2" width="13.7109375" bestFit="1" customWidth="1"/>
    <col min="3" max="3" width="18.42578125" bestFit="1" customWidth="1"/>
    <col min="4" max="4" width="12.85546875" bestFit="1" customWidth="1"/>
    <col min="5" max="5" width="17.28515625" bestFit="1" customWidth="1"/>
    <col min="6" max="6" width="17.5703125" bestFit="1" customWidth="1"/>
    <col min="7" max="7" width="22.28515625" bestFit="1" customWidth="1"/>
    <col min="8" max="8" width="16.7109375" bestFit="1" customWidth="1"/>
    <col min="9" max="9" width="21" bestFit="1" customWidth="1"/>
  </cols>
  <sheetData>
    <row r="1" spans="1:9" x14ac:dyDescent="0.25">
      <c r="A1" s="1" t="s">
        <v>58</v>
      </c>
    </row>
    <row r="2" spans="1:9" x14ac:dyDescent="0.25">
      <c r="A2" s="1" t="s">
        <v>11</v>
      </c>
      <c r="B2" s="1" t="s">
        <v>61</v>
      </c>
      <c r="C2" s="1" t="s">
        <v>62</v>
      </c>
      <c r="D2" s="1"/>
      <c r="E2" s="1" t="s">
        <v>63</v>
      </c>
      <c r="F2" s="1" t="s">
        <v>64</v>
      </c>
      <c r="G2" s="1" t="s">
        <v>65</v>
      </c>
      <c r="H2" s="1"/>
      <c r="I2" s="1" t="s">
        <v>66</v>
      </c>
    </row>
    <row r="3" spans="1:9" x14ac:dyDescent="0.25">
      <c r="A3" t="s">
        <v>12</v>
      </c>
      <c r="B3">
        <v>33149</v>
      </c>
      <c r="C3">
        <v>11.78</v>
      </c>
      <c r="D3" s="6" cm="1">
        <f t="array" ref="D3:D7">C3:C7/100</f>
        <v>0.11779999999999999</v>
      </c>
      <c r="E3">
        <v>11.78</v>
      </c>
      <c r="F3">
        <v>75</v>
      </c>
      <c r="G3">
        <v>2.29</v>
      </c>
      <c r="H3" s="6" cm="1">
        <f t="array" ref="H3:H7">G3:G7/100</f>
        <v>2.29E-2</v>
      </c>
      <c r="I3">
        <v>2.29</v>
      </c>
    </row>
    <row r="4" spans="1:9" x14ac:dyDescent="0.25">
      <c r="A4" t="s">
        <v>13</v>
      </c>
      <c r="B4">
        <v>26086</v>
      </c>
      <c r="C4">
        <v>9.27</v>
      </c>
      <c r="D4" s="6">
        <v>9.2699999999999991E-2</v>
      </c>
      <c r="E4">
        <v>21.05</v>
      </c>
      <c r="F4">
        <v>45</v>
      </c>
      <c r="G4">
        <v>1.38</v>
      </c>
      <c r="H4" s="6">
        <v>1.38E-2</v>
      </c>
      <c r="I4">
        <v>3.67</v>
      </c>
    </row>
    <row r="5" spans="1:9" x14ac:dyDescent="0.25">
      <c r="A5" t="s">
        <v>14</v>
      </c>
      <c r="B5">
        <v>39007</v>
      </c>
      <c r="C5">
        <v>13.86</v>
      </c>
      <c r="D5" s="6">
        <v>0.1386</v>
      </c>
      <c r="E5">
        <v>34.909999999999997</v>
      </c>
      <c r="F5">
        <v>279</v>
      </c>
      <c r="G5">
        <v>8.5299999999999994</v>
      </c>
      <c r="H5" s="6">
        <v>8.5299999999999987E-2</v>
      </c>
      <c r="I5">
        <v>12.2</v>
      </c>
    </row>
    <row r="6" spans="1:9" x14ac:dyDescent="0.25">
      <c r="A6" t="s">
        <v>15</v>
      </c>
      <c r="B6">
        <v>92575</v>
      </c>
      <c r="C6">
        <v>32.89</v>
      </c>
      <c r="D6" s="6">
        <v>0.32890000000000003</v>
      </c>
      <c r="E6">
        <v>67.8</v>
      </c>
      <c r="F6">
        <v>798</v>
      </c>
      <c r="G6">
        <v>24.39</v>
      </c>
      <c r="H6" s="6">
        <v>0.24390000000000001</v>
      </c>
      <c r="I6">
        <v>36.590000000000003</v>
      </c>
    </row>
    <row r="7" spans="1:9" x14ac:dyDescent="0.25">
      <c r="A7" t="s">
        <v>16</v>
      </c>
      <c r="B7">
        <v>90694</v>
      </c>
      <c r="C7">
        <v>32.22</v>
      </c>
      <c r="D7" s="6">
        <v>0.32219999999999999</v>
      </c>
      <c r="E7">
        <v>100.02</v>
      </c>
      <c r="F7">
        <v>2075</v>
      </c>
      <c r="G7">
        <v>63.42</v>
      </c>
      <c r="H7" s="6">
        <v>0.63419999999999999</v>
      </c>
      <c r="I7">
        <v>100.01</v>
      </c>
    </row>
    <row r="9" spans="1:9" x14ac:dyDescent="0.25">
      <c r="A9" s="1" t="s">
        <v>71</v>
      </c>
    </row>
    <row r="10" spans="1:9" x14ac:dyDescent="0.25">
      <c r="A10" s="1" t="s">
        <v>67</v>
      </c>
      <c r="B10" s="1" t="s">
        <v>61</v>
      </c>
      <c r="C10" s="1" t="s">
        <v>62</v>
      </c>
      <c r="D10" s="1"/>
      <c r="E10" s="1" t="s">
        <v>63</v>
      </c>
      <c r="F10" s="1" t="s">
        <v>64</v>
      </c>
      <c r="G10" s="1" t="s">
        <v>65</v>
      </c>
      <c r="H10" s="1"/>
      <c r="I10" s="1" t="s">
        <v>66</v>
      </c>
    </row>
    <row r="11" spans="1:9" x14ac:dyDescent="0.25">
      <c r="A11" t="s">
        <v>68</v>
      </c>
      <c r="B11">
        <v>136302</v>
      </c>
      <c r="C11">
        <v>48.42</v>
      </c>
      <c r="D11" s="6" cm="1">
        <f t="array" ref="D11:D13">C11:C13/100</f>
        <v>0.48420000000000002</v>
      </c>
      <c r="E11">
        <v>48.42</v>
      </c>
      <c r="F11">
        <v>2205</v>
      </c>
      <c r="G11">
        <v>67.39</v>
      </c>
      <c r="H11" s="6" cm="1">
        <f t="array" ref="H11:H13">G11:G13/100</f>
        <v>0.67390000000000005</v>
      </c>
      <c r="I11">
        <v>67.39</v>
      </c>
    </row>
    <row r="12" spans="1:9" x14ac:dyDescent="0.25">
      <c r="A12" t="s">
        <v>69</v>
      </c>
      <c r="B12">
        <v>15386</v>
      </c>
      <c r="C12">
        <v>5.47</v>
      </c>
      <c r="D12" s="6">
        <v>5.4699999999999999E-2</v>
      </c>
      <c r="E12">
        <v>53.89</v>
      </c>
      <c r="F12">
        <v>287</v>
      </c>
      <c r="G12">
        <v>8.77</v>
      </c>
      <c r="H12" s="6">
        <v>8.77E-2</v>
      </c>
      <c r="I12">
        <v>76.16</v>
      </c>
    </row>
    <row r="13" spans="1:9" x14ac:dyDescent="0.25">
      <c r="A13" t="s">
        <v>70</v>
      </c>
      <c r="B13">
        <v>129823</v>
      </c>
      <c r="C13">
        <v>46.12</v>
      </c>
      <c r="D13" s="6">
        <v>0.4612</v>
      </c>
      <c r="E13">
        <v>100.01</v>
      </c>
      <c r="F13">
        <v>780</v>
      </c>
      <c r="G13">
        <v>23.84</v>
      </c>
      <c r="H13" s="6">
        <v>0.2384</v>
      </c>
      <c r="I13">
        <v>100</v>
      </c>
    </row>
    <row r="15" spans="1:9" x14ac:dyDescent="0.25">
      <c r="A15" s="1" t="s">
        <v>26</v>
      </c>
    </row>
    <row r="16" spans="1:9" s="1" customFormat="1" x14ac:dyDescent="0.25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</row>
    <row r="17" spans="1:9" s="4" customFormat="1" ht="30" x14ac:dyDescent="0.25">
      <c r="A17" s="4" t="s">
        <v>72</v>
      </c>
      <c r="B17" s="4">
        <v>35.1</v>
      </c>
      <c r="C17" s="4">
        <v>11.09</v>
      </c>
      <c r="D17" s="4">
        <v>3272</v>
      </c>
      <c r="E17" s="5" t="s">
        <v>73</v>
      </c>
    </row>
    <row r="18" spans="1:9" s="4" customFormat="1" ht="30" x14ac:dyDescent="0.25">
      <c r="A18" s="4" t="s">
        <v>74</v>
      </c>
      <c r="B18" s="4">
        <v>40.53</v>
      </c>
      <c r="C18" s="4">
        <v>14.49</v>
      </c>
      <c r="D18" s="4">
        <v>281511</v>
      </c>
      <c r="E18" s="5" t="s">
        <v>75</v>
      </c>
    </row>
    <row r="20" spans="1:9" x14ac:dyDescent="0.25">
      <c r="A20" s="1" t="s">
        <v>27</v>
      </c>
    </row>
    <row r="21" spans="1:9" x14ac:dyDescent="0.25">
      <c r="A21" s="1" t="s">
        <v>11</v>
      </c>
      <c r="B21" s="1" t="s">
        <v>76</v>
      </c>
      <c r="C21" s="1" t="s">
        <v>77</v>
      </c>
      <c r="D21" s="1" t="s">
        <v>78</v>
      </c>
      <c r="E21" s="1" t="s">
        <v>79</v>
      </c>
      <c r="F21" s="1" t="s">
        <v>80</v>
      </c>
      <c r="G21" s="1" t="s">
        <v>81</v>
      </c>
      <c r="H21" s="1" t="s">
        <v>82</v>
      </c>
      <c r="I21" s="1" t="s">
        <v>83</v>
      </c>
    </row>
    <row r="22" spans="1:9" s="4" customFormat="1" ht="30" x14ac:dyDescent="0.25">
      <c r="A22" s="4" t="s">
        <v>12</v>
      </c>
      <c r="B22" s="4">
        <v>2013.72</v>
      </c>
      <c r="C22" s="4">
        <v>2485.84</v>
      </c>
      <c r="D22" s="4">
        <v>6141</v>
      </c>
      <c r="E22" s="5" t="s">
        <v>84</v>
      </c>
      <c r="F22" s="4">
        <v>2139.52</v>
      </c>
      <c r="G22" s="4">
        <v>989.22</v>
      </c>
      <c r="H22" s="4">
        <v>17</v>
      </c>
      <c r="I22" s="5" t="s">
        <v>85</v>
      </c>
    </row>
    <row r="23" spans="1:9" s="4" customFormat="1" ht="30" x14ac:dyDescent="0.25">
      <c r="A23" s="4" t="s">
        <v>13</v>
      </c>
      <c r="B23" s="4">
        <v>2187.6</v>
      </c>
      <c r="C23" s="4">
        <v>3229.11</v>
      </c>
      <c r="D23" s="4">
        <v>6254</v>
      </c>
      <c r="E23" s="5" t="s">
        <v>86</v>
      </c>
      <c r="F23" s="4">
        <v>1937.35</v>
      </c>
      <c r="G23" s="4">
        <v>604.65</v>
      </c>
      <c r="H23" s="4">
        <v>9</v>
      </c>
      <c r="I23" s="5" t="s">
        <v>87</v>
      </c>
    </row>
    <row r="24" spans="1:9" s="4" customFormat="1" ht="30" x14ac:dyDescent="0.25">
      <c r="A24" s="4" t="s">
        <v>14</v>
      </c>
      <c r="B24" s="4">
        <v>2414.87</v>
      </c>
      <c r="C24" s="4">
        <v>5160.5600000000004</v>
      </c>
      <c r="D24" s="4">
        <v>7550</v>
      </c>
      <c r="E24" s="5" t="s">
        <v>88</v>
      </c>
      <c r="F24" s="4">
        <v>2918.09</v>
      </c>
      <c r="G24" s="4">
        <v>3252.36</v>
      </c>
      <c r="H24" s="4">
        <v>74</v>
      </c>
      <c r="I24" s="5" t="s">
        <v>89</v>
      </c>
    </row>
    <row r="25" spans="1:9" s="4" customFormat="1" ht="30" x14ac:dyDescent="0.25">
      <c r="A25" s="4" t="s">
        <v>15</v>
      </c>
      <c r="B25" s="4">
        <v>2574.64</v>
      </c>
      <c r="C25" s="4">
        <v>3571.93</v>
      </c>
      <c r="D25" s="4">
        <v>33440</v>
      </c>
      <c r="E25" s="5" t="s">
        <v>90</v>
      </c>
      <c r="F25" s="4">
        <v>2548.12</v>
      </c>
      <c r="G25" s="4">
        <v>1907.99</v>
      </c>
      <c r="H25" s="4">
        <v>354</v>
      </c>
      <c r="I25" s="5" t="s">
        <v>91</v>
      </c>
    </row>
    <row r="26" spans="1:9" s="4" customFormat="1" ht="30" x14ac:dyDescent="0.25">
      <c r="A26" s="4" t="s">
        <v>16</v>
      </c>
      <c r="B26" s="4">
        <v>5339.05</v>
      </c>
      <c r="C26" s="4">
        <v>6502.08</v>
      </c>
      <c r="D26" s="4">
        <v>43910</v>
      </c>
      <c r="E26" s="5" t="s">
        <v>92</v>
      </c>
      <c r="F26" s="4">
        <v>4115.58</v>
      </c>
      <c r="G26" s="4">
        <v>6426.66</v>
      </c>
      <c r="H26" s="4">
        <v>1201</v>
      </c>
      <c r="I26" s="5" t="s">
        <v>93</v>
      </c>
    </row>
    <row r="28" spans="1:9" x14ac:dyDescent="0.25">
      <c r="A28" s="1" t="s">
        <v>94</v>
      </c>
      <c r="B28" t="s">
        <v>61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</row>
    <row r="29" spans="1:9" x14ac:dyDescent="0.25">
      <c r="A29" t="s">
        <v>95</v>
      </c>
      <c r="B29">
        <v>322</v>
      </c>
      <c r="C29">
        <v>1</v>
      </c>
      <c r="D29">
        <v>1</v>
      </c>
      <c r="E29">
        <v>14</v>
      </c>
      <c r="F29">
        <v>1.1499999999999999</v>
      </c>
      <c r="G29">
        <v>1.1499999999999999</v>
      </c>
    </row>
    <row r="30" spans="1:9" x14ac:dyDescent="0.25">
      <c r="A30" t="s">
        <v>96</v>
      </c>
      <c r="B30">
        <v>9787</v>
      </c>
      <c r="C30">
        <v>30.5</v>
      </c>
      <c r="D30">
        <v>31.5</v>
      </c>
      <c r="E30">
        <v>484</v>
      </c>
      <c r="F30">
        <v>39.799999999999997</v>
      </c>
      <c r="G30">
        <v>40.950000000000003</v>
      </c>
    </row>
    <row r="31" spans="1:9" x14ac:dyDescent="0.25">
      <c r="A31" t="s">
        <v>97</v>
      </c>
      <c r="B31">
        <v>21978</v>
      </c>
      <c r="C31">
        <v>68.5</v>
      </c>
      <c r="D31">
        <v>100</v>
      </c>
      <c r="E31">
        <v>718</v>
      </c>
      <c r="F31">
        <v>59.05</v>
      </c>
      <c r="G31">
        <v>100</v>
      </c>
    </row>
    <row r="33" spans="1:9" s="7" customFormat="1" x14ac:dyDescent="0.25"/>
    <row r="34" spans="1:9" s="7" customFormat="1" x14ac:dyDescent="0.25"/>
    <row r="35" spans="1:9" x14ac:dyDescent="0.25">
      <c r="A35" s="1" t="s">
        <v>58</v>
      </c>
    </row>
    <row r="36" spans="1:9" s="1" customFormat="1" x14ac:dyDescent="0.25">
      <c r="A36" s="1" t="s">
        <v>11</v>
      </c>
      <c r="B36" s="1" t="s">
        <v>61</v>
      </c>
      <c r="C36" s="1" t="s">
        <v>62</v>
      </c>
      <c r="E36" s="1" t="s">
        <v>63</v>
      </c>
      <c r="F36" s="1" t="s">
        <v>64</v>
      </c>
      <c r="G36" s="1" t="s">
        <v>65</v>
      </c>
      <c r="I36" s="1" t="s">
        <v>66</v>
      </c>
    </row>
    <row r="37" spans="1:9" x14ac:dyDescent="0.25">
      <c r="A37" t="s">
        <v>12</v>
      </c>
      <c r="B37">
        <v>2682</v>
      </c>
      <c r="C37">
        <v>3.15</v>
      </c>
      <c r="D37" s="6" cm="1">
        <f t="array" ref="D37:D41">C37:C41/100</f>
        <v>3.15E-2</v>
      </c>
      <c r="E37">
        <v>3.15</v>
      </c>
      <c r="F37">
        <v>10</v>
      </c>
      <c r="G37">
        <v>0.62</v>
      </c>
      <c r="H37" s="6" cm="1">
        <f t="array" ref="H37:H41">G37:G41/100</f>
        <v>6.1999999999999998E-3</v>
      </c>
      <c r="I37">
        <v>0.62</v>
      </c>
    </row>
    <row r="38" spans="1:9" x14ac:dyDescent="0.25">
      <c r="A38" t="s">
        <v>13</v>
      </c>
      <c r="B38">
        <v>4109</v>
      </c>
      <c r="C38">
        <v>4.82</v>
      </c>
      <c r="D38" s="6">
        <v>4.82E-2</v>
      </c>
      <c r="E38">
        <v>7.97</v>
      </c>
      <c r="F38">
        <v>7</v>
      </c>
      <c r="G38">
        <v>0.44</v>
      </c>
      <c r="H38" s="6">
        <v>4.4000000000000003E-3</v>
      </c>
      <c r="I38">
        <v>1.06</v>
      </c>
    </row>
    <row r="39" spans="1:9" x14ac:dyDescent="0.25">
      <c r="A39" t="s">
        <v>14</v>
      </c>
      <c r="B39">
        <v>5743</v>
      </c>
      <c r="C39">
        <v>6.74</v>
      </c>
      <c r="D39" s="6">
        <v>6.7400000000000002E-2</v>
      </c>
      <c r="E39">
        <v>14.71</v>
      </c>
      <c r="F39">
        <v>65</v>
      </c>
      <c r="G39">
        <v>4.05</v>
      </c>
      <c r="H39" s="6">
        <v>4.0500000000000001E-2</v>
      </c>
      <c r="I39">
        <v>5.1100000000000003</v>
      </c>
    </row>
    <row r="40" spans="1:9" x14ac:dyDescent="0.25">
      <c r="A40" t="s">
        <v>15</v>
      </c>
      <c r="B40">
        <v>30581</v>
      </c>
      <c r="C40">
        <v>35.89</v>
      </c>
      <c r="D40" s="6">
        <v>0.3589</v>
      </c>
      <c r="E40">
        <v>50.6</v>
      </c>
      <c r="F40">
        <v>344</v>
      </c>
      <c r="G40">
        <v>21.43</v>
      </c>
      <c r="H40" s="6">
        <v>0.21429999999999999</v>
      </c>
      <c r="I40">
        <v>26.54</v>
      </c>
    </row>
    <row r="41" spans="1:9" x14ac:dyDescent="0.25">
      <c r="A41" t="s">
        <v>16</v>
      </c>
      <c r="B41">
        <v>42095</v>
      </c>
      <c r="C41">
        <v>49.4</v>
      </c>
      <c r="D41" s="6">
        <v>0.49399999999999999</v>
      </c>
      <c r="E41">
        <v>100</v>
      </c>
      <c r="F41">
        <v>1179</v>
      </c>
      <c r="G41">
        <v>73.459999999999994</v>
      </c>
      <c r="H41" s="6">
        <v>0.73459999999999992</v>
      </c>
      <c r="I41">
        <v>100</v>
      </c>
    </row>
    <row r="43" spans="1:9" x14ac:dyDescent="0.25">
      <c r="A43" s="1" t="s">
        <v>67</v>
      </c>
      <c r="B43" t="s">
        <v>61</v>
      </c>
      <c r="C43" t="s">
        <v>62</v>
      </c>
      <c r="D43" t="s">
        <v>63</v>
      </c>
      <c r="E43" t="s">
        <v>64</v>
      </c>
      <c r="F43" t="s">
        <v>65</v>
      </c>
      <c r="G43" t="s">
        <v>66</v>
      </c>
    </row>
    <row r="44" spans="1:9" x14ac:dyDescent="0.25">
      <c r="A44" t="s">
        <v>68</v>
      </c>
      <c r="B44">
        <v>85210</v>
      </c>
      <c r="C44">
        <v>100</v>
      </c>
      <c r="D44">
        <v>100</v>
      </c>
      <c r="E44">
        <v>1605</v>
      </c>
      <c r="F44">
        <v>100</v>
      </c>
      <c r="G44">
        <v>100</v>
      </c>
    </row>
    <row r="46" spans="1:9" x14ac:dyDescent="0.25">
      <c r="A46" s="1" t="s">
        <v>26</v>
      </c>
    </row>
    <row r="47" spans="1:9" x14ac:dyDescent="0.25">
      <c r="A47" t="s">
        <v>17</v>
      </c>
      <c r="B47" t="s">
        <v>18</v>
      </c>
      <c r="C47" t="s">
        <v>19</v>
      </c>
      <c r="D47" t="s">
        <v>20</v>
      </c>
      <c r="E47" t="s">
        <v>21</v>
      </c>
    </row>
    <row r="48" spans="1:9" s="4" customFormat="1" ht="30" x14ac:dyDescent="0.25">
      <c r="A48" s="4" t="s">
        <v>72</v>
      </c>
      <c r="B48" s="4">
        <v>34.369999999999997</v>
      </c>
      <c r="C48" s="4">
        <v>8.77</v>
      </c>
      <c r="D48" s="4">
        <v>1605</v>
      </c>
      <c r="E48" s="5" t="s">
        <v>98</v>
      </c>
    </row>
    <row r="49" spans="1:9" s="4" customFormat="1" ht="30" x14ac:dyDescent="0.25">
      <c r="A49" s="4" t="s">
        <v>74</v>
      </c>
      <c r="B49" s="4">
        <v>38.24</v>
      </c>
      <c r="C49" s="4">
        <v>10.54</v>
      </c>
      <c r="D49" s="4">
        <v>85210</v>
      </c>
      <c r="E49" s="5" t="s">
        <v>99</v>
      </c>
    </row>
    <row r="50" spans="1:9" x14ac:dyDescent="0.25">
      <c r="E50" s="4"/>
    </row>
    <row r="51" spans="1:9" x14ac:dyDescent="0.25">
      <c r="A51" s="1" t="s">
        <v>110</v>
      </c>
    </row>
    <row r="52" spans="1:9" x14ac:dyDescent="0.25">
      <c r="A52" t="s">
        <v>11</v>
      </c>
      <c r="B52" t="s">
        <v>76</v>
      </c>
      <c r="C52" t="s">
        <v>77</v>
      </c>
      <c r="D52" t="s">
        <v>78</v>
      </c>
      <c r="E52" t="s">
        <v>79</v>
      </c>
      <c r="F52" t="s">
        <v>80</v>
      </c>
      <c r="G52" t="s">
        <v>81</v>
      </c>
      <c r="H52" t="s">
        <v>82</v>
      </c>
      <c r="I52" t="s">
        <v>83</v>
      </c>
    </row>
    <row r="53" spans="1:9" ht="30" x14ac:dyDescent="0.25">
      <c r="A53" s="8" t="s">
        <v>12</v>
      </c>
      <c r="B53" s="8">
        <v>1911.43</v>
      </c>
      <c r="C53" s="8">
        <v>1526.08</v>
      </c>
      <c r="D53" s="8">
        <v>2682</v>
      </c>
      <c r="E53" s="5" t="s">
        <v>100</v>
      </c>
      <c r="F53" s="8">
        <v>2282.19</v>
      </c>
      <c r="G53" s="8">
        <v>1264</v>
      </c>
      <c r="H53" s="8">
        <v>10</v>
      </c>
      <c r="I53" s="5" t="s">
        <v>101</v>
      </c>
    </row>
    <row r="54" spans="1:9" ht="30" x14ac:dyDescent="0.25">
      <c r="A54" s="8" t="s">
        <v>13</v>
      </c>
      <c r="B54" s="8">
        <v>2004.34</v>
      </c>
      <c r="C54" s="8">
        <v>1620.42</v>
      </c>
      <c r="D54" s="8">
        <v>4109</v>
      </c>
      <c r="E54" s="5" t="s">
        <v>102</v>
      </c>
      <c r="F54" s="8">
        <v>2032.48</v>
      </c>
      <c r="G54" s="8">
        <v>663.29</v>
      </c>
      <c r="H54" s="8">
        <v>7</v>
      </c>
      <c r="I54" s="5" t="s">
        <v>103</v>
      </c>
    </row>
    <row r="55" spans="1:9" ht="30" x14ac:dyDescent="0.25">
      <c r="A55" s="8" t="s">
        <v>14</v>
      </c>
      <c r="B55" s="8">
        <v>2190.21</v>
      </c>
      <c r="C55" s="8">
        <v>1834.1</v>
      </c>
      <c r="D55" s="8">
        <v>5743</v>
      </c>
      <c r="E55" s="5" t="s">
        <v>104</v>
      </c>
      <c r="F55" s="8">
        <v>2545.94</v>
      </c>
      <c r="G55" s="8">
        <v>1426.24</v>
      </c>
      <c r="H55" s="8">
        <v>65</v>
      </c>
      <c r="I55" s="5" t="s">
        <v>105</v>
      </c>
    </row>
    <row r="56" spans="1:9" ht="30" x14ac:dyDescent="0.25">
      <c r="A56" s="8" t="s">
        <v>15</v>
      </c>
      <c r="B56" s="8">
        <v>2432.8200000000002</v>
      </c>
      <c r="C56" s="8">
        <v>1841.96</v>
      </c>
      <c r="D56" s="8">
        <v>30581</v>
      </c>
      <c r="E56" s="5" t="s">
        <v>106</v>
      </c>
      <c r="F56" s="8">
        <v>2569.36</v>
      </c>
      <c r="G56" s="8">
        <v>1930.79</v>
      </c>
      <c r="H56" s="8">
        <v>344</v>
      </c>
      <c r="I56" s="5" t="s">
        <v>107</v>
      </c>
    </row>
    <row r="57" spans="1:9" ht="30" x14ac:dyDescent="0.25">
      <c r="A57" s="8" t="s">
        <v>16</v>
      </c>
      <c r="B57" s="8">
        <v>4828.79</v>
      </c>
      <c r="C57" s="8">
        <v>3749.95</v>
      </c>
      <c r="D57" s="8">
        <v>42095</v>
      </c>
      <c r="E57" s="5" t="s">
        <v>108</v>
      </c>
      <c r="F57" s="8">
        <v>3732.91</v>
      </c>
      <c r="G57" s="8">
        <v>3205.02</v>
      </c>
      <c r="H57" s="8">
        <v>1179</v>
      </c>
      <c r="I57" s="5" t="s">
        <v>109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91C3-283E-4192-AC5E-C21A73446748}">
  <dimension ref="A1:Q63"/>
  <sheetViews>
    <sheetView workbookViewId="0">
      <selection activeCell="A8" sqref="A8:C8"/>
    </sheetView>
  </sheetViews>
  <sheetFormatPr defaultRowHeight="15" x14ac:dyDescent="0.25"/>
  <cols>
    <col min="1" max="1" width="86" bestFit="1" customWidth="1"/>
    <col min="2" max="3" width="15.28515625" bestFit="1" customWidth="1"/>
    <col min="4" max="5" width="23.7109375" bestFit="1" customWidth="1"/>
    <col min="7" max="7" width="86" bestFit="1" customWidth="1"/>
    <col min="8" max="9" width="23.7109375" bestFit="1" customWidth="1"/>
    <col min="10" max="11" width="15.28515625" bestFit="1" customWidth="1"/>
    <col min="12" max="13" width="17.7109375" bestFit="1" customWidth="1"/>
  </cols>
  <sheetData>
    <row r="1" spans="1:17" x14ac:dyDescent="0.25">
      <c r="A1" s="1" t="s">
        <v>154</v>
      </c>
    </row>
    <row r="2" spans="1:17" x14ac:dyDescent="0.25">
      <c r="A2" s="1" t="s">
        <v>111</v>
      </c>
      <c r="B2" s="1" t="s">
        <v>2</v>
      </c>
      <c r="C2" s="1" t="s">
        <v>5</v>
      </c>
      <c r="D2" s="1" t="s">
        <v>1</v>
      </c>
      <c r="E2" s="1" t="s">
        <v>4</v>
      </c>
      <c r="G2" s="1" t="s">
        <v>111</v>
      </c>
      <c r="H2" s="1" t="s">
        <v>2</v>
      </c>
      <c r="I2" s="1" t="s">
        <v>5</v>
      </c>
      <c r="J2" t="s">
        <v>4</v>
      </c>
      <c r="K2" t="s">
        <v>1</v>
      </c>
      <c r="L2" t="s">
        <v>6</v>
      </c>
      <c r="M2" t="s">
        <v>3</v>
      </c>
    </row>
    <row r="3" spans="1:17" x14ac:dyDescent="0.25">
      <c r="A3" t="s">
        <v>113</v>
      </c>
      <c r="B3">
        <v>17.05</v>
      </c>
      <c r="C3">
        <v>43.78</v>
      </c>
      <c r="D3">
        <v>4492</v>
      </c>
      <c r="E3">
        <v>1384</v>
      </c>
      <c r="G3" t="s">
        <v>113</v>
      </c>
      <c r="H3">
        <v>17.03</v>
      </c>
      <c r="I3">
        <v>43.74</v>
      </c>
      <c r="J3">
        <v>1384</v>
      </c>
      <c r="K3">
        <v>4492</v>
      </c>
      <c r="L3">
        <v>99.84</v>
      </c>
      <c r="M3">
        <v>99.79</v>
      </c>
    </row>
    <row r="4" spans="1:17" x14ac:dyDescent="0.25">
      <c r="A4" t="s">
        <v>114</v>
      </c>
      <c r="B4">
        <v>15.7</v>
      </c>
      <c r="C4">
        <v>2.15</v>
      </c>
      <c r="D4">
        <v>4137</v>
      </c>
      <c r="E4">
        <v>68</v>
      </c>
      <c r="G4" t="s">
        <v>114</v>
      </c>
      <c r="H4">
        <v>15.69</v>
      </c>
      <c r="I4">
        <v>2.15</v>
      </c>
      <c r="J4">
        <v>68</v>
      </c>
      <c r="K4">
        <v>4137</v>
      </c>
      <c r="L4">
        <v>50.92</v>
      </c>
      <c r="M4">
        <v>72.17</v>
      </c>
    </row>
    <row r="5" spans="1:17" x14ac:dyDescent="0.25">
      <c r="A5" t="s">
        <v>112</v>
      </c>
      <c r="B5">
        <v>12.51</v>
      </c>
      <c r="C5">
        <v>9.52</v>
      </c>
      <c r="D5">
        <v>3296</v>
      </c>
      <c r="E5">
        <v>301</v>
      </c>
      <c r="G5" t="s">
        <v>112</v>
      </c>
      <c r="H5">
        <v>12.5</v>
      </c>
      <c r="I5">
        <v>9.51</v>
      </c>
      <c r="J5">
        <v>301</v>
      </c>
      <c r="K5">
        <v>3296</v>
      </c>
      <c r="L5">
        <v>23.45</v>
      </c>
      <c r="M5">
        <v>24.48</v>
      </c>
    </row>
    <row r="6" spans="1:17" x14ac:dyDescent="0.25">
      <c r="A6" t="s">
        <v>116</v>
      </c>
      <c r="B6">
        <v>7.95</v>
      </c>
      <c r="C6">
        <v>16.7</v>
      </c>
      <c r="D6">
        <v>2094</v>
      </c>
      <c r="E6">
        <v>528</v>
      </c>
      <c r="G6" t="s">
        <v>116</v>
      </c>
      <c r="H6">
        <v>7.94</v>
      </c>
      <c r="I6">
        <v>16.690000000000001</v>
      </c>
      <c r="J6">
        <v>528</v>
      </c>
      <c r="K6">
        <v>2094</v>
      </c>
      <c r="L6">
        <v>40.840000000000003</v>
      </c>
      <c r="M6">
        <v>33.97</v>
      </c>
      <c r="Q6" t="s">
        <v>155</v>
      </c>
    </row>
    <row r="7" spans="1:17" x14ac:dyDescent="0.25">
      <c r="A7" t="s">
        <v>118</v>
      </c>
      <c r="B7">
        <v>7.77</v>
      </c>
      <c r="C7">
        <v>1.01</v>
      </c>
      <c r="D7">
        <v>2047</v>
      </c>
      <c r="E7">
        <v>32</v>
      </c>
      <c r="G7" t="s">
        <v>118</v>
      </c>
      <c r="H7">
        <v>7.76</v>
      </c>
      <c r="I7">
        <v>1.01</v>
      </c>
      <c r="J7">
        <v>32</v>
      </c>
      <c r="K7">
        <v>2047</v>
      </c>
      <c r="L7">
        <v>48.77</v>
      </c>
      <c r="M7">
        <v>56.48</v>
      </c>
    </row>
    <row r="8" spans="1:17" x14ac:dyDescent="0.25">
      <c r="A8" t="s">
        <v>115</v>
      </c>
      <c r="B8">
        <v>7.41</v>
      </c>
      <c r="C8">
        <v>6.52</v>
      </c>
      <c r="D8">
        <v>1952</v>
      </c>
      <c r="E8">
        <v>206</v>
      </c>
      <c r="G8" t="s">
        <v>115</v>
      </c>
      <c r="H8">
        <v>7.4</v>
      </c>
      <c r="I8">
        <v>6.51</v>
      </c>
      <c r="J8">
        <v>206</v>
      </c>
      <c r="K8">
        <v>1952</v>
      </c>
      <c r="L8">
        <v>13.21</v>
      </c>
      <c r="M8">
        <v>10.32</v>
      </c>
    </row>
    <row r="9" spans="1:17" x14ac:dyDescent="0.25">
      <c r="A9" t="s">
        <v>117</v>
      </c>
      <c r="B9">
        <v>7.26</v>
      </c>
      <c r="C9">
        <v>2.44</v>
      </c>
      <c r="D9">
        <v>1913</v>
      </c>
      <c r="E9">
        <v>77</v>
      </c>
      <c r="G9" t="s">
        <v>117</v>
      </c>
      <c r="H9">
        <v>7.25</v>
      </c>
      <c r="I9">
        <v>2.4300000000000002</v>
      </c>
      <c r="J9">
        <v>77</v>
      </c>
      <c r="K9">
        <v>1913</v>
      </c>
      <c r="L9">
        <v>53.35</v>
      </c>
      <c r="M9">
        <v>79.42</v>
      </c>
    </row>
    <row r="10" spans="1:17" x14ac:dyDescent="0.25">
      <c r="A10" t="s">
        <v>120</v>
      </c>
      <c r="B10">
        <v>5.15</v>
      </c>
      <c r="C10">
        <v>4.18</v>
      </c>
      <c r="D10">
        <v>1357</v>
      </c>
      <c r="E10">
        <v>132</v>
      </c>
      <c r="G10" t="s">
        <v>120</v>
      </c>
      <c r="H10">
        <v>5.15</v>
      </c>
      <c r="I10">
        <v>4.17</v>
      </c>
      <c r="J10">
        <v>132</v>
      </c>
      <c r="K10">
        <v>1357</v>
      </c>
      <c r="L10">
        <v>47.76</v>
      </c>
      <c r="M10">
        <v>48.72</v>
      </c>
    </row>
    <row r="11" spans="1:17" x14ac:dyDescent="0.25">
      <c r="A11" t="s">
        <v>123</v>
      </c>
      <c r="B11">
        <v>4.16</v>
      </c>
      <c r="C11">
        <v>0.6</v>
      </c>
      <c r="D11">
        <v>1096</v>
      </c>
      <c r="E11">
        <v>19</v>
      </c>
      <c r="G11" t="s">
        <v>123</v>
      </c>
      <c r="H11">
        <v>4.16</v>
      </c>
      <c r="I11">
        <v>0.6</v>
      </c>
      <c r="J11">
        <v>19</v>
      </c>
      <c r="K11">
        <v>1096</v>
      </c>
      <c r="L11">
        <v>41.79</v>
      </c>
      <c r="M11">
        <v>39.96</v>
      </c>
    </row>
    <row r="12" spans="1:17" x14ac:dyDescent="0.25">
      <c r="A12" t="s">
        <v>121</v>
      </c>
      <c r="B12">
        <v>3.17</v>
      </c>
      <c r="C12">
        <v>1.27</v>
      </c>
      <c r="D12">
        <v>834</v>
      </c>
      <c r="E12">
        <v>40</v>
      </c>
      <c r="G12" t="s">
        <v>121</v>
      </c>
      <c r="H12">
        <v>3.16</v>
      </c>
      <c r="I12">
        <v>1.26</v>
      </c>
      <c r="J12">
        <v>40</v>
      </c>
      <c r="K12">
        <v>834</v>
      </c>
      <c r="L12">
        <v>43.59</v>
      </c>
      <c r="M12">
        <v>43.57</v>
      </c>
    </row>
    <row r="13" spans="1:17" x14ac:dyDescent="0.25">
      <c r="A13" t="s">
        <v>122</v>
      </c>
      <c r="B13">
        <v>2.93</v>
      </c>
      <c r="C13">
        <v>6.71</v>
      </c>
      <c r="D13">
        <v>771</v>
      </c>
      <c r="E13">
        <v>212</v>
      </c>
      <c r="G13" t="s">
        <v>122</v>
      </c>
      <c r="H13">
        <v>2.92</v>
      </c>
      <c r="I13">
        <v>6.7</v>
      </c>
      <c r="J13">
        <v>212</v>
      </c>
      <c r="K13">
        <v>771</v>
      </c>
      <c r="L13">
        <v>6.7</v>
      </c>
      <c r="M13">
        <v>2.92</v>
      </c>
    </row>
    <row r="14" spans="1:17" x14ac:dyDescent="0.25">
      <c r="A14" t="s">
        <v>119</v>
      </c>
      <c r="B14">
        <v>2.0499999999999998</v>
      </c>
      <c r="C14">
        <v>1.83</v>
      </c>
      <c r="D14">
        <v>540</v>
      </c>
      <c r="E14">
        <v>58</v>
      </c>
      <c r="G14" t="s">
        <v>119</v>
      </c>
      <c r="H14">
        <v>2.0499999999999998</v>
      </c>
      <c r="I14">
        <v>1.83</v>
      </c>
      <c r="J14">
        <v>58</v>
      </c>
      <c r="K14">
        <v>540</v>
      </c>
      <c r="L14">
        <v>56.1</v>
      </c>
      <c r="M14">
        <v>82.76</v>
      </c>
    </row>
    <row r="15" spans="1:17" x14ac:dyDescent="0.25">
      <c r="A15" t="s">
        <v>125</v>
      </c>
      <c r="B15">
        <v>1.83</v>
      </c>
      <c r="C15">
        <v>0.35</v>
      </c>
      <c r="D15">
        <v>482</v>
      </c>
      <c r="E15">
        <v>11</v>
      </c>
      <c r="G15" t="s">
        <v>125</v>
      </c>
      <c r="H15">
        <v>1.83</v>
      </c>
      <c r="I15">
        <v>0.35</v>
      </c>
      <c r="J15">
        <v>11</v>
      </c>
      <c r="K15">
        <v>482</v>
      </c>
      <c r="L15">
        <v>41.19</v>
      </c>
      <c r="M15">
        <v>35.799999999999997</v>
      </c>
    </row>
    <row r="16" spans="1:17" x14ac:dyDescent="0.25">
      <c r="A16" t="s">
        <v>124</v>
      </c>
      <c r="B16">
        <v>1.55</v>
      </c>
      <c r="C16">
        <v>0.7</v>
      </c>
      <c r="D16">
        <v>408</v>
      </c>
      <c r="E16">
        <v>22</v>
      </c>
      <c r="G16" t="s">
        <v>124</v>
      </c>
      <c r="H16">
        <v>1.55</v>
      </c>
      <c r="I16">
        <v>0.7</v>
      </c>
      <c r="J16">
        <v>22</v>
      </c>
      <c r="K16">
        <v>408</v>
      </c>
      <c r="L16">
        <v>24.15</v>
      </c>
      <c r="M16">
        <v>26.03</v>
      </c>
    </row>
    <row r="17" spans="1:13" x14ac:dyDescent="0.25">
      <c r="A17" t="s">
        <v>126</v>
      </c>
      <c r="B17">
        <v>1.29</v>
      </c>
      <c r="C17">
        <v>0.92</v>
      </c>
      <c r="D17">
        <v>339</v>
      </c>
      <c r="E17">
        <v>29</v>
      </c>
      <c r="G17" t="s">
        <v>126</v>
      </c>
      <c r="H17">
        <v>1.29</v>
      </c>
      <c r="I17">
        <v>0.92</v>
      </c>
      <c r="J17">
        <v>29</v>
      </c>
      <c r="K17">
        <v>339</v>
      </c>
      <c r="L17">
        <v>54.27</v>
      </c>
      <c r="M17">
        <v>80.709999999999994</v>
      </c>
    </row>
    <row r="18" spans="1:13" x14ac:dyDescent="0.25">
      <c r="A18" t="s">
        <v>127</v>
      </c>
      <c r="B18">
        <v>0.77</v>
      </c>
      <c r="C18">
        <v>0.51</v>
      </c>
      <c r="D18">
        <v>203</v>
      </c>
      <c r="E18">
        <v>16</v>
      </c>
      <c r="G18" t="s">
        <v>127</v>
      </c>
      <c r="H18">
        <v>0.77</v>
      </c>
      <c r="I18">
        <v>0.51</v>
      </c>
      <c r="J18">
        <v>16</v>
      </c>
      <c r="K18">
        <v>203</v>
      </c>
      <c r="L18">
        <v>13.94</v>
      </c>
      <c r="M18">
        <v>11.98</v>
      </c>
    </row>
    <row r="19" spans="1:13" x14ac:dyDescent="0.25">
      <c r="A19" t="s">
        <v>129</v>
      </c>
      <c r="B19">
        <v>0.5</v>
      </c>
      <c r="D19">
        <v>133</v>
      </c>
      <c r="G19" t="s">
        <v>129</v>
      </c>
      <c r="H19">
        <v>0.5</v>
      </c>
      <c r="K19">
        <v>133</v>
      </c>
      <c r="M19">
        <v>10.82</v>
      </c>
    </row>
    <row r="20" spans="1:13" x14ac:dyDescent="0.25">
      <c r="A20" t="s">
        <v>128</v>
      </c>
      <c r="B20">
        <v>0.45</v>
      </c>
      <c r="C20">
        <v>0.54</v>
      </c>
      <c r="D20">
        <v>118</v>
      </c>
      <c r="E20">
        <v>17</v>
      </c>
      <c r="G20" t="s">
        <v>128</v>
      </c>
      <c r="H20">
        <v>0.45</v>
      </c>
      <c r="I20">
        <v>0.54</v>
      </c>
      <c r="J20">
        <v>17</v>
      </c>
      <c r="K20">
        <v>118</v>
      </c>
      <c r="L20">
        <v>42.33</v>
      </c>
      <c r="M20">
        <v>40.409999999999997</v>
      </c>
    </row>
    <row r="21" spans="1:13" x14ac:dyDescent="0.25">
      <c r="A21" t="s">
        <v>130</v>
      </c>
      <c r="B21">
        <v>0.39</v>
      </c>
      <c r="C21">
        <v>0.22</v>
      </c>
      <c r="D21">
        <v>104</v>
      </c>
      <c r="E21">
        <v>7</v>
      </c>
      <c r="G21" t="s">
        <v>130</v>
      </c>
      <c r="H21">
        <v>0.39</v>
      </c>
      <c r="I21">
        <v>0.22</v>
      </c>
      <c r="J21">
        <v>7</v>
      </c>
      <c r="K21">
        <v>104</v>
      </c>
      <c r="L21">
        <v>13.43</v>
      </c>
      <c r="M21">
        <v>11.21</v>
      </c>
    </row>
    <row r="22" spans="1:13" x14ac:dyDescent="0.25">
      <c r="A22" t="s">
        <v>131</v>
      </c>
      <c r="B22">
        <v>0.11</v>
      </c>
      <c r="C22">
        <v>0.06</v>
      </c>
      <c r="D22">
        <v>28</v>
      </c>
      <c r="E22">
        <v>2</v>
      </c>
      <c r="G22" t="s">
        <v>131</v>
      </c>
      <c r="H22">
        <v>0.11</v>
      </c>
      <c r="I22">
        <v>0.06</v>
      </c>
      <c r="J22">
        <v>2</v>
      </c>
      <c r="K22">
        <v>28</v>
      </c>
      <c r="L22">
        <v>99.9</v>
      </c>
      <c r="M22">
        <v>99.9</v>
      </c>
    </row>
    <row r="23" spans="1:13" x14ac:dyDescent="0.25">
      <c r="A23" t="s">
        <v>132</v>
      </c>
      <c r="B23">
        <v>0</v>
      </c>
      <c r="D23">
        <v>1</v>
      </c>
      <c r="G23" t="s">
        <v>157</v>
      </c>
      <c r="H23">
        <v>0.11</v>
      </c>
      <c r="I23">
        <v>0.09</v>
      </c>
      <c r="J23">
        <v>3</v>
      </c>
      <c r="K23">
        <v>28</v>
      </c>
      <c r="L23">
        <v>99.99</v>
      </c>
      <c r="M23">
        <v>100.01</v>
      </c>
    </row>
    <row r="24" spans="1:13" x14ac:dyDescent="0.25">
      <c r="G24" t="s">
        <v>132</v>
      </c>
      <c r="H24">
        <v>0</v>
      </c>
      <c r="K24">
        <v>1</v>
      </c>
      <c r="M24">
        <v>2.92</v>
      </c>
    </row>
    <row r="26" spans="1:13" x14ac:dyDescent="0.25">
      <c r="A26" s="1" t="s">
        <v>156</v>
      </c>
    </row>
    <row r="27" spans="1:13" x14ac:dyDescent="0.25">
      <c r="A27" t="s">
        <v>114</v>
      </c>
      <c r="B27">
        <v>15.69</v>
      </c>
      <c r="C27">
        <v>2.15</v>
      </c>
      <c r="D27" s="6" cm="1">
        <f t="array" ref="D27:E31">B27:C31/100</f>
        <v>0.15689999999999998</v>
      </c>
      <c r="E27" s="6">
        <v>2.1499999999999998E-2</v>
      </c>
    </row>
    <row r="28" spans="1:13" x14ac:dyDescent="0.25">
      <c r="A28" t="s">
        <v>116</v>
      </c>
      <c r="B28">
        <v>7.94</v>
      </c>
      <c r="C28">
        <v>16.690000000000001</v>
      </c>
      <c r="D28" s="6">
        <v>7.9399999999999998E-2</v>
      </c>
      <c r="E28" s="6">
        <v>0.16690000000000002</v>
      </c>
    </row>
    <row r="29" spans="1:13" x14ac:dyDescent="0.25">
      <c r="A29" t="s">
        <v>112</v>
      </c>
      <c r="B29">
        <v>12.5</v>
      </c>
      <c r="C29">
        <v>9.51</v>
      </c>
      <c r="D29" s="6">
        <v>0.125</v>
      </c>
      <c r="E29" s="6">
        <v>9.5100000000000004E-2</v>
      </c>
    </row>
    <row r="30" spans="1:13" x14ac:dyDescent="0.25">
      <c r="A30" t="s">
        <v>113</v>
      </c>
      <c r="B30">
        <v>17.03</v>
      </c>
      <c r="C30">
        <v>43.74</v>
      </c>
      <c r="D30" s="6">
        <v>0.17030000000000001</v>
      </c>
      <c r="E30" s="6">
        <v>0.43740000000000001</v>
      </c>
    </row>
    <row r="31" spans="1:13" x14ac:dyDescent="0.25">
      <c r="A31" t="s">
        <v>115</v>
      </c>
      <c r="B31">
        <v>7.4</v>
      </c>
      <c r="C31">
        <v>6.51</v>
      </c>
      <c r="D31" s="6">
        <v>7.400000000000001E-2</v>
      </c>
      <c r="E31" s="6">
        <v>6.5099999999999991E-2</v>
      </c>
    </row>
    <row r="32" spans="1:13" x14ac:dyDescent="0.25">
      <c r="D32" s="6">
        <f>1-SUM(D27:D31)</f>
        <v>0.39440000000000008</v>
      </c>
      <c r="E32" s="6">
        <f>1-SUM(E27:E31)</f>
        <v>0.21399999999999997</v>
      </c>
    </row>
    <row r="34" spans="1:7" x14ac:dyDescent="0.25">
      <c r="A34" s="1" t="s">
        <v>158</v>
      </c>
      <c r="B34" s="1" t="s">
        <v>62</v>
      </c>
      <c r="C34" s="1" t="s">
        <v>65</v>
      </c>
      <c r="D34" s="1" t="s">
        <v>64</v>
      </c>
      <c r="E34" s="1" t="s">
        <v>61</v>
      </c>
      <c r="F34" s="1" t="s">
        <v>66</v>
      </c>
      <c r="G34" s="1" t="s">
        <v>63</v>
      </c>
    </row>
    <row r="35" spans="1:7" x14ac:dyDescent="0.25">
      <c r="A35" t="s">
        <v>148</v>
      </c>
      <c r="B35">
        <v>20.11</v>
      </c>
      <c r="C35">
        <v>4.26</v>
      </c>
      <c r="D35">
        <v>69</v>
      </c>
      <c r="E35">
        <v>19367</v>
      </c>
      <c r="F35">
        <v>79.69</v>
      </c>
      <c r="G35">
        <v>75.05</v>
      </c>
    </row>
    <row r="36" spans="1:7" x14ac:dyDescent="0.25">
      <c r="A36" t="s">
        <v>139</v>
      </c>
      <c r="B36">
        <v>14.91</v>
      </c>
      <c r="C36">
        <v>26.36</v>
      </c>
      <c r="D36">
        <v>427</v>
      </c>
      <c r="E36">
        <v>14363</v>
      </c>
      <c r="F36">
        <v>39.450000000000003</v>
      </c>
      <c r="G36">
        <v>29.71</v>
      </c>
    </row>
    <row r="37" spans="1:7" x14ac:dyDescent="0.25">
      <c r="A37" t="s">
        <v>149</v>
      </c>
      <c r="B37">
        <v>12.1</v>
      </c>
      <c r="C37">
        <v>6.91</v>
      </c>
      <c r="D37">
        <v>112</v>
      </c>
      <c r="E37">
        <v>11653</v>
      </c>
      <c r="F37">
        <v>86.6</v>
      </c>
      <c r="G37">
        <v>87.15</v>
      </c>
    </row>
    <row r="38" spans="1:7" x14ac:dyDescent="0.25">
      <c r="A38" t="s">
        <v>152</v>
      </c>
      <c r="B38">
        <v>10.37</v>
      </c>
      <c r="C38">
        <v>8.58</v>
      </c>
      <c r="D38">
        <v>139</v>
      </c>
      <c r="E38">
        <v>9987</v>
      </c>
      <c r="F38">
        <v>99.94</v>
      </c>
      <c r="G38">
        <v>100.01</v>
      </c>
    </row>
    <row r="39" spans="1:7" x14ac:dyDescent="0.25">
      <c r="A39" t="s">
        <v>147</v>
      </c>
      <c r="B39">
        <v>7.71</v>
      </c>
      <c r="C39">
        <v>0.62</v>
      </c>
      <c r="D39">
        <v>10</v>
      </c>
      <c r="E39">
        <v>7427</v>
      </c>
      <c r="F39">
        <v>75.430000000000007</v>
      </c>
      <c r="G39">
        <v>54.94</v>
      </c>
    </row>
    <row r="40" spans="1:7" x14ac:dyDescent="0.25">
      <c r="A40" t="s">
        <v>133</v>
      </c>
      <c r="B40">
        <v>7.56</v>
      </c>
      <c r="C40">
        <v>3.15</v>
      </c>
      <c r="D40">
        <v>51</v>
      </c>
      <c r="E40">
        <v>7283</v>
      </c>
      <c r="F40">
        <v>3.15</v>
      </c>
      <c r="G40">
        <v>7.56</v>
      </c>
    </row>
    <row r="41" spans="1:7" x14ac:dyDescent="0.25">
      <c r="A41" t="s">
        <v>141</v>
      </c>
      <c r="B41">
        <v>5.87</v>
      </c>
      <c r="C41">
        <v>15.8</v>
      </c>
      <c r="D41">
        <v>256</v>
      </c>
      <c r="E41">
        <v>5651</v>
      </c>
      <c r="F41">
        <v>58.27</v>
      </c>
      <c r="G41">
        <v>38.22</v>
      </c>
    </row>
    <row r="42" spans="1:7" x14ac:dyDescent="0.25">
      <c r="A42" t="s">
        <v>135</v>
      </c>
      <c r="B42">
        <v>4.3099999999999996</v>
      </c>
      <c r="C42">
        <v>6.79</v>
      </c>
      <c r="D42">
        <v>110</v>
      </c>
      <c r="E42">
        <v>4153</v>
      </c>
      <c r="F42">
        <v>10.25</v>
      </c>
      <c r="G42">
        <v>12.83</v>
      </c>
    </row>
    <row r="43" spans="1:7" x14ac:dyDescent="0.25">
      <c r="A43" t="s">
        <v>144</v>
      </c>
      <c r="B43">
        <v>3.75</v>
      </c>
      <c r="C43">
        <v>3.83</v>
      </c>
      <c r="D43">
        <v>62</v>
      </c>
      <c r="E43">
        <v>3609</v>
      </c>
      <c r="F43">
        <v>67.959999999999994</v>
      </c>
      <c r="G43">
        <v>44.82</v>
      </c>
    </row>
    <row r="44" spans="1:7" x14ac:dyDescent="0.25">
      <c r="A44" t="s">
        <v>140</v>
      </c>
      <c r="B44">
        <v>2.64</v>
      </c>
      <c r="C44">
        <v>3.02</v>
      </c>
      <c r="D44">
        <v>49</v>
      </c>
      <c r="E44">
        <v>2546</v>
      </c>
      <c r="F44">
        <v>42.47</v>
      </c>
      <c r="G44">
        <v>32.35</v>
      </c>
    </row>
    <row r="45" spans="1:7" x14ac:dyDescent="0.25">
      <c r="A45" t="s">
        <v>143</v>
      </c>
      <c r="B45">
        <v>2.38</v>
      </c>
      <c r="C45">
        <v>2.84</v>
      </c>
      <c r="D45">
        <v>46</v>
      </c>
      <c r="E45">
        <v>2288</v>
      </c>
      <c r="F45">
        <v>64.13</v>
      </c>
      <c r="G45">
        <v>41.07</v>
      </c>
    </row>
    <row r="46" spans="1:7" x14ac:dyDescent="0.25">
      <c r="A46" t="s">
        <v>151</v>
      </c>
      <c r="B46">
        <v>2.23</v>
      </c>
      <c r="C46">
        <v>4.1399999999999997</v>
      </c>
      <c r="D46">
        <v>67</v>
      </c>
      <c r="E46">
        <v>2148</v>
      </c>
      <c r="F46">
        <v>91.36</v>
      </c>
      <c r="G46">
        <v>89.64</v>
      </c>
    </row>
    <row r="47" spans="1:7" x14ac:dyDescent="0.25">
      <c r="A47" t="s">
        <v>138</v>
      </c>
      <c r="B47">
        <v>1.46</v>
      </c>
      <c r="C47">
        <v>2.16</v>
      </c>
      <c r="D47">
        <v>35</v>
      </c>
      <c r="E47">
        <v>1403</v>
      </c>
      <c r="F47">
        <v>13.09</v>
      </c>
      <c r="G47">
        <v>14.8</v>
      </c>
    </row>
    <row r="48" spans="1:7" x14ac:dyDescent="0.25">
      <c r="A48" t="s">
        <v>146</v>
      </c>
      <c r="B48">
        <v>1.32</v>
      </c>
      <c r="C48">
        <v>4.32</v>
      </c>
      <c r="D48">
        <v>70</v>
      </c>
      <c r="E48">
        <v>1267</v>
      </c>
      <c r="F48">
        <v>74.81</v>
      </c>
      <c r="G48">
        <v>47.23</v>
      </c>
    </row>
    <row r="49" spans="1:7" x14ac:dyDescent="0.25">
      <c r="A49" t="s">
        <v>145</v>
      </c>
      <c r="B49">
        <v>1.0900000000000001</v>
      </c>
      <c r="C49">
        <v>2.5299999999999998</v>
      </c>
      <c r="D49">
        <v>41</v>
      </c>
      <c r="E49">
        <v>1048</v>
      </c>
      <c r="F49">
        <v>70.489999999999995</v>
      </c>
      <c r="G49">
        <v>45.91</v>
      </c>
    </row>
    <row r="50" spans="1:7" x14ac:dyDescent="0.25">
      <c r="A50" t="s">
        <v>134</v>
      </c>
      <c r="B50">
        <v>0.96</v>
      </c>
      <c r="C50">
        <v>0.31</v>
      </c>
      <c r="D50">
        <v>5</v>
      </c>
      <c r="E50">
        <v>924</v>
      </c>
      <c r="F50">
        <v>3.46</v>
      </c>
      <c r="G50">
        <v>8.52</v>
      </c>
    </row>
    <row r="51" spans="1:7" x14ac:dyDescent="0.25">
      <c r="A51" t="s">
        <v>142</v>
      </c>
      <c r="B51">
        <v>0.47</v>
      </c>
      <c r="C51">
        <v>3.02</v>
      </c>
      <c r="D51">
        <v>49</v>
      </c>
      <c r="E51">
        <v>450</v>
      </c>
      <c r="F51">
        <v>61.29</v>
      </c>
      <c r="G51">
        <v>38.69</v>
      </c>
    </row>
    <row r="52" spans="1:7" x14ac:dyDescent="0.25">
      <c r="A52" t="s">
        <v>136</v>
      </c>
      <c r="B52">
        <v>0.38</v>
      </c>
      <c r="C52">
        <v>0.56000000000000005</v>
      </c>
      <c r="D52">
        <v>9</v>
      </c>
      <c r="E52">
        <v>366</v>
      </c>
      <c r="F52">
        <v>10.81</v>
      </c>
      <c r="G52">
        <v>13.21</v>
      </c>
    </row>
    <row r="53" spans="1:7" x14ac:dyDescent="0.25">
      <c r="A53" t="s">
        <v>150</v>
      </c>
      <c r="B53">
        <v>0.26</v>
      </c>
      <c r="C53">
        <v>0.62</v>
      </c>
      <c r="D53">
        <v>10</v>
      </c>
      <c r="E53">
        <v>250</v>
      </c>
      <c r="F53">
        <v>87.22</v>
      </c>
      <c r="G53">
        <v>87.41</v>
      </c>
    </row>
    <row r="54" spans="1:7" x14ac:dyDescent="0.25">
      <c r="A54" t="s">
        <v>137</v>
      </c>
      <c r="B54">
        <v>0.13</v>
      </c>
      <c r="C54">
        <v>0.12</v>
      </c>
      <c r="D54">
        <v>2</v>
      </c>
      <c r="E54">
        <v>127</v>
      </c>
      <c r="F54">
        <v>10.93</v>
      </c>
      <c r="G54">
        <v>13.34</v>
      </c>
    </row>
    <row r="55" spans="1:7" x14ac:dyDescent="0.25">
      <c r="A55" t="s">
        <v>153</v>
      </c>
      <c r="B55">
        <v>0.02</v>
      </c>
      <c r="C55">
        <v>0.06</v>
      </c>
      <c r="D55">
        <v>1</v>
      </c>
      <c r="E55">
        <v>18</v>
      </c>
      <c r="F55">
        <v>100</v>
      </c>
      <c r="G55">
        <v>100.03</v>
      </c>
    </row>
    <row r="57" spans="1:7" x14ac:dyDescent="0.25">
      <c r="A57" s="1" t="s">
        <v>156</v>
      </c>
    </row>
    <row r="58" spans="1:7" x14ac:dyDescent="0.25">
      <c r="A58" t="s">
        <v>148</v>
      </c>
      <c r="B58">
        <v>20.11</v>
      </c>
      <c r="C58">
        <v>4.26</v>
      </c>
      <c r="D58" s="6" cm="1">
        <f t="array" ref="D58:E62">B58:C62/100</f>
        <v>0.2011</v>
      </c>
      <c r="E58" s="6">
        <v>4.2599999999999999E-2</v>
      </c>
    </row>
    <row r="59" spans="1:7" x14ac:dyDescent="0.25">
      <c r="A59" t="s">
        <v>141</v>
      </c>
      <c r="B59">
        <v>5.87</v>
      </c>
      <c r="C59">
        <v>15.8</v>
      </c>
      <c r="D59" s="6">
        <v>5.8700000000000002E-2</v>
      </c>
      <c r="E59" s="6">
        <v>0.158</v>
      </c>
    </row>
    <row r="60" spans="1:7" x14ac:dyDescent="0.25">
      <c r="A60" t="s">
        <v>139</v>
      </c>
      <c r="B60">
        <v>14.91</v>
      </c>
      <c r="C60">
        <v>26.36</v>
      </c>
      <c r="D60" s="6">
        <v>0.14910000000000001</v>
      </c>
      <c r="E60" s="6">
        <v>0.2636</v>
      </c>
    </row>
    <row r="61" spans="1:7" x14ac:dyDescent="0.25">
      <c r="A61" t="s">
        <v>152</v>
      </c>
      <c r="B61">
        <v>10.37</v>
      </c>
      <c r="C61">
        <v>8.58</v>
      </c>
      <c r="D61" s="6">
        <v>0.10369999999999999</v>
      </c>
      <c r="E61" s="6">
        <v>8.5800000000000001E-2</v>
      </c>
    </row>
    <row r="62" spans="1:7" x14ac:dyDescent="0.25">
      <c r="A62" t="s">
        <v>135</v>
      </c>
      <c r="B62">
        <v>4.3099999999999996</v>
      </c>
      <c r="C62">
        <v>6.79</v>
      </c>
      <c r="D62" s="6">
        <v>4.3099999999999999E-2</v>
      </c>
      <c r="E62" s="6">
        <v>6.7900000000000002E-2</v>
      </c>
    </row>
    <row r="63" spans="1:7" x14ac:dyDescent="0.25">
      <c r="D63" s="6">
        <f>1-SUM(D58:D62)</f>
        <v>0.44429999999999992</v>
      </c>
      <c r="E63" s="6">
        <f>1-SUM(E58:E62)</f>
        <v>0.3821</v>
      </c>
    </row>
  </sheetData>
  <conditionalFormatting sqref="B3:B23">
    <cfRule type="top10" dxfId="1" priority="2" rank="6"/>
  </conditionalFormatting>
  <conditionalFormatting sqref="C3:C23">
    <cfRule type="top10" dxfId="0" priority="1" rank="6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561A-9AB4-4631-BC39-A7E65C67ADF2}">
  <dimension ref="A1:G33"/>
  <sheetViews>
    <sheetView tabSelected="1" workbookViewId="0">
      <selection activeCell="F19" sqref="F19"/>
    </sheetView>
  </sheetViews>
  <sheetFormatPr defaultRowHeight="15" x14ac:dyDescent="0.25"/>
  <cols>
    <col min="1" max="1" width="14.7109375" bestFit="1" customWidth="1"/>
    <col min="2" max="3" width="23.7109375" bestFit="1" customWidth="1"/>
    <col min="4" max="5" width="15.28515625" bestFit="1" customWidth="1"/>
    <col min="6" max="6" width="115" bestFit="1" customWidth="1"/>
    <col min="7" max="7" width="11.85546875" bestFit="1" customWidth="1"/>
    <col min="8" max="8" width="113.7109375" bestFit="1" customWidth="1"/>
  </cols>
  <sheetData>
    <row r="1" spans="1:7" x14ac:dyDescent="0.25">
      <c r="A1" t="s">
        <v>159</v>
      </c>
    </row>
    <row r="3" spans="1:7" x14ac:dyDescent="0.25">
      <c r="A3" t="s">
        <v>160</v>
      </c>
      <c r="B3" t="s">
        <v>2</v>
      </c>
      <c r="C3" t="s">
        <v>5</v>
      </c>
      <c r="D3" t="s">
        <v>4</v>
      </c>
      <c r="E3" t="s">
        <v>1</v>
      </c>
      <c r="F3" t="s">
        <v>6</v>
      </c>
      <c r="G3" t="s">
        <v>3</v>
      </c>
    </row>
    <row r="4" spans="1:7" x14ac:dyDescent="0.25">
      <c r="A4" t="s">
        <v>161</v>
      </c>
      <c r="B4">
        <v>66.459999999999994</v>
      </c>
      <c r="C4">
        <v>68.05</v>
      </c>
      <c r="D4">
        <v>2151</v>
      </c>
      <c r="E4">
        <v>17510</v>
      </c>
      <c r="F4">
        <v>68.05</v>
      </c>
      <c r="G4">
        <v>66.459999999999994</v>
      </c>
    </row>
    <row r="5" spans="1:7" x14ac:dyDescent="0.25">
      <c r="A5" t="s">
        <v>162</v>
      </c>
      <c r="B5">
        <v>8.3000000000000007</v>
      </c>
      <c r="C5">
        <v>6.3</v>
      </c>
      <c r="D5">
        <v>199</v>
      </c>
      <c r="E5">
        <v>2187</v>
      </c>
      <c r="F5">
        <v>74.349999999999994</v>
      </c>
      <c r="G5">
        <v>74.760000000000005</v>
      </c>
    </row>
    <row r="6" spans="1:7" x14ac:dyDescent="0.25">
      <c r="A6" t="s">
        <v>163</v>
      </c>
      <c r="B6">
        <v>5.56</v>
      </c>
      <c r="C6">
        <v>6.45</v>
      </c>
      <c r="D6">
        <v>204</v>
      </c>
      <c r="E6">
        <v>1466</v>
      </c>
      <c r="F6">
        <v>80.8</v>
      </c>
      <c r="G6">
        <v>80.319999999999993</v>
      </c>
    </row>
    <row r="7" spans="1:7" x14ac:dyDescent="0.25">
      <c r="A7" t="s">
        <v>164</v>
      </c>
      <c r="B7">
        <v>6.93</v>
      </c>
      <c r="C7">
        <v>0.51</v>
      </c>
      <c r="D7">
        <v>16</v>
      </c>
      <c r="E7">
        <v>1825</v>
      </c>
      <c r="F7">
        <v>81.31</v>
      </c>
      <c r="G7">
        <v>87.25</v>
      </c>
    </row>
    <row r="8" spans="1:7" x14ac:dyDescent="0.25">
      <c r="A8" t="s">
        <v>165</v>
      </c>
      <c r="B8">
        <v>7.59</v>
      </c>
      <c r="C8">
        <v>6.86</v>
      </c>
      <c r="D8">
        <v>217</v>
      </c>
      <c r="E8">
        <v>1999</v>
      </c>
      <c r="F8">
        <v>88.17</v>
      </c>
      <c r="G8">
        <v>94.84</v>
      </c>
    </row>
    <row r="9" spans="1:7" x14ac:dyDescent="0.25">
      <c r="A9" t="s">
        <v>166</v>
      </c>
      <c r="B9">
        <v>5.15</v>
      </c>
      <c r="C9">
        <v>11.83</v>
      </c>
      <c r="D9">
        <v>374</v>
      </c>
      <c r="E9">
        <v>1358</v>
      </c>
      <c r="F9">
        <v>100</v>
      </c>
      <c r="G9">
        <v>99.99</v>
      </c>
    </row>
    <row r="12" spans="1:7" x14ac:dyDescent="0.25">
      <c r="A12" t="s">
        <v>160</v>
      </c>
      <c r="B12" t="s">
        <v>2</v>
      </c>
      <c r="C12" t="s">
        <v>5</v>
      </c>
    </row>
    <row r="13" spans="1:7" x14ac:dyDescent="0.25">
      <c r="A13" t="s">
        <v>161</v>
      </c>
      <c r="B13">
        <v>66.459999999999994</v>
      </c>
      <c r="C13">
        <v>68.05</v>
      </c>
      <c r="D13" s="6" cm="1">
        <f t="array" ref="D13:E15">B13:C15/100</f>
        <v>0.66459999999999997</v>
      </c>
      <c r="E13" s="6">
        <v>0.68049999999999999</v>
      </c>
    </row>
    <row r="14" spans="1:7" x14ac:dyDescent="0.25">
      <c r="A14" t="s">
        <v>166</v>
      </c>
      <c r="B14">
        <v>5.15</v>
      </c>
      <c r="C14">
        <v>11.83</v>
      </c>
      <c r="D14" s="6">
        <v>5.1500000000000004E-2</v>
      </c>
      <c r="E14" s="6">
        <v>0.1183</v>
      </c>
    </row>
    <row r="15" spans="1:7" x14ac:dyDescent="0.25">
      <c r="A15" t="s">
        <v>165</v>
      </c>
      <c r="B15">
        <v>7.59</v>
      </c>
      <c r="C15">
        <v>6.86</v>
      </c>
      <c r="D15" s="6">
        <v>7.5899999999999995E-2</v>
      </c>
      <c r="E15" s="6">
        <v>6.8600000000000008E-2</v>
      </c>
    </row>
    <row r="16" spans="1:7" x14ac:dyDescent="0.25">
      <c r="D16" s="6">
        <f>1-SUM(D13:D15)</f>
        <v>0.20800000000000007</v>
      </c>
      <c r="E16" s="6">
        <f>1-SUM(E13:E15)</f>
        <v>0.13260000000000005</v>
      </c>
    </row>
    <row r="17" spans="1:7" x14ac:dyDescent="0.25">
      <c r="D17" s="6"/>
      <c r="E17" s="6"/>
    </row>
    <row r="20" spans="1:7" x14ac:dyDescent="0.25">
      <c r="A20" t="s">
        <v>160</v>
      </c>
      <c r="B20" t="s">
        <v>64</v>
      </c>
      <c r="C20" t="s">
        <v>61</v>
      </c>
      <c r="D20" t="s">
        <v>65</v>
      </c>
      <c r="E20" t="s">
        <v>62</v>
      </c>
      <c r="F20" t="s">
        <v>66</v>
      </c>
      <c r="G20" t="s">
        <v>63</v>
      </c>
    </row>
    <row r="21" spans="1:7" x14ac:dyDescent="0.25">
      <c r="A21" t="s">
        <v>167</v>
      </c>
      <c r="B21">
        <v>165</v>
      </c>
      <c r="C21">
        <v>12323</v>
      </c>
      <c r="D21">
        <v>10.19</v>
      </c>
      <c r="E21">
        <v>12.79</v>
      </c>
      <c r="F21">
        <v>10.19</v>
      </c>
      <c r="G21">
        <v>12.79</v>
      </c>
    </row>
    <row r="22" spans="1:7" x14ac:dyDescent="0.25">
      <c r="A22" t="s">
        <v>168</v>
      </c>
      <c r="B22">
        <v>1120</v>
      </c>
      <c r="C22">
        <v>43769</v>
      </c>
      <c r="D22">
        <v>69.14</v>
      </c>
      <c r="E22">
        <v>45.44</v>
      </c>
      <c r="F22">
        <v>79.33</v>
      </c>
      <c r="G22">
        <v>58.23</v>
      </c>
    </row>
    <row r="23" spans="1:7" x14ac:dyDescent="0.25">
      <c r="A23" t="s">
        <v>169</v>
      </c>
      <c r="B23">
        <v>210</v>
      </c>
      <c r="C23">
        <v>25119</v>
      </c>
      <c r="D23">
        <v>12.96</v>
      </c>
      <c r="E23">
        <v>26.08</v>
      </c>
      <c r="F23">
        <v>92.29</v>
      </c>
      <c r="G23">
        <v>84.31</v>
      </c>
    </row>
    <row r="24" spans="1:7" x14ac:dyDescent="0.25">
      <c r="A24" t="s">
        <v>170</v>
      </c>
      <c r="B24">
        <v>125</v>
      </c>
      <c r="C24">
        <v>15117</v>
      </c>
      <c r="D24">
        <v>7.72</v>
      </c>
      <c r="E24">
        <v>15.69</v>
      </c>
      <c r="F24">
        <v>100.01</v>
      </c>
      <c r="G24">
        <v>100</v>
      </c>
    </row>
    <row r="27" spans="1:7" x14ac:dyDescent="0.25">
      <c r="A27" t="s">
        <v>160</v>
      </c>
      <c r="B27" t="s">
        <v>65</v>
      </c>
      <c r="C27" t="s">
        <v>62</v>
      </c>
    </row>
    <row r="28" spans="1:7" x14ac:dyDescent="0.25">
      <c r="A28" t="s">
        <v>168</v>
      </c>
      <c r="B28">
        <v>69.14</v>
      </c>
      <c r="C28">
        <v>45.44</v>
      </c>
      <c r="D28" s="6" cm="1">
        <f t="array" ref="D28:E31">B28:C31/100</f>
        <v>0.69140000000000001</v>
      </c>
      <c r="E28" s="6">
        <v>0.45439999999999997</v>
      </c>
    </row>
    <row r="29" spans="1:7" x14ac:dyDescent="0.25">
      <c r="A29" t="s">
        <v>169</v>
      </c>
      <c r="B29">
        <v>12.96</v>
      </c>
      <c r="C29">
        <v>26.08</v>
      </c>
      <c r="D29" s="6">
        <v>0.12960000000000002</v>
      </c>
      <c r="E29" s="6">
        <v>0.26079999999999998</v>
      </c>
    </row>
    <row r="30" spans="1:7" x14ac:dyDescent="0.25">
      <c r="A30" t="s">
        <v>170</v>
      </c>
      <c r="B30">
        <v>7.72</v>
      </c>
      <c r="C30">
        <v>15.69</v>
      </c>
      <c r="D30" s="6">
        <v>7.7199999999999991E-2</v>
      </c>
      <c r="E30" s="6">
        <v>0.15689999999999998</v>
      </c>
    </row>
    <row r="31" spans="1:7" x14ac:dyDescent="0.25">
      <c r="A31" t="s">
        <v>167</v>
      </c>
      <c r="B31">
        <v>10.19</v>
      </c>
      <c r="C31">
        <v>12.79</v>
      </c>
      <c r="D31" s="6">
        <v>0.10189999999999999</v>
      </c>
      <c r="E31" s="6">
        <v>0.12789999999999999</v>
      </c>
    </row>
    <row r="33" spans="2:5" x14ac:dyDescent="0.25">
      <c r="B33">
        <f>1-SUM(B28:B30)</f>
        <v>-88.82</v>
      </c>
      <c r="D33" s="6">
        <f>1-SUM(D28:D30)</f>
        <v>0.10179999999999989</v>
      </c>
      <c r="E33" s="6">
        <f>1-SUM(E28:E30)</f>
        <v>0.12790000000000012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Costa_rica</vt:lpstr>
      <vt:lpstr>Chile</vt:lpstr>
      <vt:lpstr>Ocupaciones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2015-06-05T18:19:34Z</dcterms:created>
  <dcterms:modified xsi:type="dcterms:W3CDTF">2026-02-03T06:37:19Z</dcterms:modified>
</cp:coreProperties>
</file>